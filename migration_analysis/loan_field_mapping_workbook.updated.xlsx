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gauravgrover/cdb-frontend/migration_analysis/"/>
    </mc:Choice>
  </mc:AlternateContent>
  <xr:revisionPtr revIDLastSave="0" documentId="13_ncr:1_{18E24E59-C875-2349-832F-3021BB146221}" xr6:coauthVersionLast="47" xr6:coauthVersionMax="47" xr10:uidLastSave="{00000000-0000-0000-0000-000000000000}"/>
  <bookViews>
    <workbookView xWindow="0" yWindow="680" windowWidth="30240" windowHeight="17780" activeTab="8" xr2:uid="{00000000-000D-0000-FFFF-FFFF00000000}"/>
  </bookViews>
  <sheets>
    <sheet name="MappingEditor" sheetId="1" r:id="rId1"/>
    <sheet name="NewFieldCatalog" sheetId="2" r:id="rId2"/>
    <sheet name="LegacyCatalog" sheetId="3" r:id="rId3"/>
    <sheet name="DropdownData" sheetId="4" state="hidden" r:id="rId4"/>
    <sheet name="Instructions" sheetId="5" r:id="rId5"/>
    <sheet name="UnmappedNewFields" sheetId="6" r:id="rId6"/>
    <sheet name="UnmappedLegacyFields" sheetId="7" r:id="rId7"/>
    <sheet name="FallbackEditor" sheetId="8" r:id="rId8"/>
    <sheet name="CaseSource" sheetId="9" r:id="rId9"/>
  </sheets>
  <definedNames>
    <definedName name="_xlnm._FilterDatabase" localSheetId="0" hidden="1">MappingEditor!$A$1:$N$461</definedName>
    <definedName name="AUTH_SIGNATORY">DropdownData!$B$2:$B$17</definedName>
    <definedName name="CPV_DETAIL">DropdownData!$C$2:$C$105</definedName>
    <definedName name="CUSTOMER_BANK">DropdownData!$D$2:$D$13</definedName>
    <definedName name="GURANTOR">DropdownData!$E$2:$E$34</definedName>
    <definedName name="LegacyFiles">DropdownData!$A$2:$A$11</definedName>
    <definedName name="RC_CUSTOMER_ACCOUNT">DropdownData!$F$2:$F$161</definedName>
    <definedName name="RC_DOC_DESPATCH_MASTER">DropdownData!$G$2:$G$10</definedName>
    <definedName name="RC_INSTRUMENT_DETAIL">DropdownData!$H$2:$H$21</definedName>
    <definedName name="RC_RC_INV_RECEIVING_DETAIL">DropdownData!$I$2:$I$23</definedName>
    <definedName name="RC_RC_INV_STATUS">DropdownData!$J$2:$J$28</definedName>
    <definedName name="RC_SOURCE_REFERENCE">DropdownData!$K$2:$K$6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5" i="8" l="1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N54" i="1"/>
  <c r="N413" i="1"/>
  <c r="N72" i="1"/>
  <c r="N169" i="1"/>
  <c r="N168" i="1"/>
  <c r="N412" i="1"/>
  <c r="N71" i="1"/>
  <c r="N70" i="1"/>
  <c r="N357" i="1"/>
  <c r="N356" i="1"/>
  <c r="N441" i="1"/>
  <c r="N355" i="1"/>
  <c r="N89" i="1"/>
  <c r="N440" i="1"/>
  <c r="N439" i="1"/>
  <c r="N411" i="1"/>
  <c r="N410" i="1"/>
  <c r="N167" i="1"/>
  <c r="N354" i="1"/>
  <c r="N353" i="1"/>
  <c r="N352" i="1"/>
  <c r="N351" i="1"/>
  <c r="N166" i="1"/>
  <c r="N350" i="1"/>
  <c r="N349" i="1"/>
  <c r="N348" i="1"/>
  <c r="N347" i="1"/>
  <c r="N346" i="1"/>
  <c r="N345" i="1"/>
  <c r="N438" i="1"/>
  <c r="N344" i="1"/>
  <c r="N343" i="1"/>
  <c r="N342" i="1"/>
  <c r="N341" i="1"/>
  <c r="N340" i="1"/>
  <c r="N88" i="1"/>
  <c r="N437" i="1"/>
  <c r="N339" i="1"/>
  <c r="N436" i="1"/>
  <c r="N165" i="1"/>
  <c r="N164" i="1"/>
  <c r="N163" i="1"/>
  <c r="N162" i="1"/>
  <c r="N161" i="1"/>
  <c r="N160" i="1"/>
  <c r="N159" i="1"/>
  <c r="N435" i="1"/>
  <c r="N158" i="1"/>
  <c r="N157" i="1"/>
  <c r="N156" i="1"/>
  <c r="N155" i="1"/>
  <c r="N154" i="1"/>
  <c r="N153" i="1"/>
  <c r="N152" i="1"/>
  <c r="N151" i="1"/>
  <c r="N150" i="1"/>
  <c r="N149" i="1"/>
  <c r="N338" i="1"/>
  <c r="N337" i="1"/>
  <c r="N434" i="1"/>
  <c r="N336" i="1"/>
  <c r="N87" i="1"/>
  <c r="N86" i="1"/>
  <c r="N85" i="1"/>
  <c r="N148" i="1"/>
  <c r="N147" i="1"/>
  <c r="N84" i="1"/>
  <c r="N335" i="1"/>
  <c r="N334" i="1"/>
  <c r="N69" i="1"/>
  <c r="N333" i="1"/>
  <c r="N332" i="1"/>
  <c r="N21" i="1"/>
  <c r="N146" i="1"/>
  <c r="N145" i="1"/>
  <c r="N144" i="1"/>
  <c r="N433" i="1"/>
  <c r="N331" i="1"/>
  <c r="N330" i="1"/>
  <c r="N68" i="1"/>
  <c r="N143" i="1"/>
  <c r="N432" i="1"/>
  <c r="N83" i="1"/>
  <c r="N82" i="1"/>
  <c r="N431" i="1"/>
  <c r="N409" i="1"/>
  <c r="N408" i="1"/>
  <c r="N329" i="1"/>
  <c r="N328" i="1"/>
  <c r="N407" i="1"/>
  <c r="N142" i="1"/>
  <c r="N327" i="1"/>
  <c r="N53" i="1"/>
  <c r="N52" i="1"/>
  <c r="N51" i="1"/>
  <c r="N50" i="1"/>
  <c r="N49" i="1"/>
  <c r="N48" i="1"/>
  <c r="N326" i="1"/>
  <c r="N325" i="1"/>
  <c r="N324" i="1"/>
  <c r="N323" i="1"/>
  <c r="N141" i="1"/>
  <c r="N322" i="1"/>
  <c r="N321" i="1"/>
  <c r="N320" i="1"/>
  <c r="N67" i="1"/>
  <c r="N319" i="1"/>
  <c r="N318" i="1"/>
  <c r="N317" i="1"/>
  <c r="N316" i="1"/>
  <c r="N140" i="1"/>
  <c r="N139" i="1"/>
  <c r="N315" i="1"/>
  <c r="N314" i="1"/>
  <c r="N66" i="1"/>
  <c r="N313" i="1"/>
  <c r="N312" i="1"/>
  <c r="N311" i="1"/>
  <c r="N310" i="1"/>
  <c r="N309" i="1"/>
  <c r="N308" i="1"/>
  <c r="N307" i="1"/>
  <c r="N306" i="1"/>
  <c r="N138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137" i="1"/>
  <c r="N293" i="1"/>
  <c r="N136" i="1"/>
  <c r="N292" i="1"/>
  <c r="N135" i="1"/>
  <c r="N291" i="1"/>
  <c r="N134" i="1"/>
  <c r="N133" i="1"/>
  <c r="N132" i="1"/>
  <c r="N131" i="1"/>
  <c r="N130" i="1"/>
  <c r="N129" i="1"/>
  <c r="N128" i="1"/>
  <c r="N127" i="1"/>
  <c r="N126" i="1"/>
  <c r="N65" i="1"/>
  <c r="N125" i="1"/>
  <c r="N430" i="1"/>
  <c r="N429" i="1"/>
  <c r="N124" i="1"/>
  <c r="N81" i="1"/>
  <c r="N123" i="1"/>
  <c r="N428" i="1"/>
  <c r="N427" i="1"/>
  <c r="N426" i="1"/>
  <c r="N425" i="1"/>
  <c r="N424" i="1"/>
  <c r="N423" i="1"/>
  <c r="N122" i="1"/>
  <c r="N121" i="1"/>
  <c r="N47" i="1"/>
  <c r="N46" i="1"/>
  <c r="N45" i="1"/>
  <c r="N44" i="1"/>
  <c r="N43" i="1"/>
  <c r="N406" i="1"/>
  <c r="N405" i="1"/>
  <c r="N290" i="1"/>
  <c r="N289" i="1"/>
  <c r="N288" i="1"/>
  <c r="N404" i="1"/>
  <c r="N120" i="1"/>
  <c r="N64" i="1"/>
  <c r="N287" i="1"/>
  <c r="N286" i="1"/>
  <c r="N63" i="1"/>
  <c r="N62" i="1"/>
  <c r="N61" i="1"/>
  <c r="N60" i="1"/>
  <c r="N285" i="1"/>
  <c r="N284" i="1"/>
  <c r="N422" i="1"/>
  <c r="N283" i="1"/>
  <c r="N80" i="1"/>
  <c r="N79" i="1"/>
  <c r="N78" i="1"/>
  <c r="N59" i="1"/>
  <c r="N282" i="1"/>
  <c r="N281" i="1"/>
  <c r="N119" i="1"/>
  <c r="N118" i="1"/>
  <c r="N280" i="1"/>
  <c r="N279" i="1"/>
  <c r="N58" i="1"/>
  <c r="N278" i="1"/>
  <c r="N277" i="1"/>
  <c r="N276" i="1"/>
  <c r="N275" i="1"/>
  <c r="N274" i="1"/>
  <c r="N273" i="1"/>
  <c r="N117" i="1"/>
  <c r="N272" i="1"/>
  <c r="N271" i="1"/>
  <c r="N270" i="1"/>
  <c r="N269" i="1"/>
  <c r="N268" i="1"/>
  <c r="N267" i="1"/>
  <c r="N266" i="1"/>
  <c r="N265" i="1"/>
  <c r="N116" i="1"/>
  <c r="N115" i="1"/>
  <c r="N114" i="1"/>
  <c r="N113" i="1"/>
  <c r="N112" i="1"/>
  <c r="N111" i="1"/>
  <c r="N110" i="1"/>
  <c r="N109" i="1"/>
  <c r="N108" i="1"/>
  <c r="N107" i="1"/>
  <c r="N57" i="1"/>
  <c r="N77" i="1"/>
  <c r="N76" i="1"/>
  <c r="N75" i="1"/>
  <c r="N74" i="1"/>
  <c r="N73" i="1"/>
  <c r="N20" i="1"/>
  <c r="N19" i="1"/>
  <c r="N18" i="1"/>
  <c r="N17" i="1"/>
  <c r="N16" i="1"/>
  <c r="N15" i="1"/>
  <c r="N14" i="1"/>
  <c r="N13" i="1"/>
  <c r="N12" i="1"/>
  <c r="N11" i="1"/>
  <c r="N10" i="1"/>
  <c r="N9" i="1"/>
  <c r="N421" i="1"/>
  <c r="N8" i="1"/>
  <c r="N7" i="1"/>
  <c r="N264" i="1"/>
  <c r="N263" i="1"/>
  <c r="N262" i="1"/>
  <c r="N106" i="1"/>
  <c r="N261" i="1"/>
  <c r="N260" i="1"/>
  <c r="N259" i="1"/>
  <c r="N56" i="1"/>
  <c r="N105" i="1"/>
  <c r="N104" i="1"/>
  <c r="N103" i="1"/>
  <c r="N102" i="1"/>
  <c r="N258" i="1"/>
  <c r="N257" i="1"/>
  <c r="N256" i="1"/>
  <c r="N255" i="1"/>
  <c r="N254" i="1"/>
  <c r="N253" i="1"/>
  <c r="N252" i="1"/>
  <c r="N251" i="1"/>
  <c r="N46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6" i="1"/>
  <c r="N222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101" i="1"/>
  <c r="N100" i="1"/>
  <c r="N99" i="1"/>
  <c r="N98" i="1"/>
  <c r="N97" i="1"/>
  <c r="N96" i="1"/>
  <c r="N95" i="1"/>
  <c r="N94" i="1"/>
  <c r="N93" i="1"/>
  <c r="N460" i="1"/>
  <c r="N92" i="1"/>
  <c r="N91" i="1"/>
  <c r="N459" i="1"/>
  <c r="N458" i="1"/>
  <c r="N5" i="1"/>
  <c r="N4" i="1"/>
  <c r="N3" i="1"/>
  <c r="N2" i="1"/>
  <c r="N457" i="1"/>
  <c r="N456" i="1"/>
  <c r="N455" i="1"/>
  <c r="N454" i="1"/>
  <c r="N453" i="1"/>
  <c r="N452" i="1"/>
  <c r="N451" i="1"/>
  <c r="N221" i="1"/>
  <c r="N220" i="1"/>
  <c r="N219" i="1"/>
  <c r="N218" i="1"/>
  <c r="N217" i="1"/>
  <c r="N403" i="1"/>
  <c r="N420" i="1"/>
  <c r="N216" i="1"/>
  <c r="N215" i="1"/>
  <c r="N402" i="1"/>
  <c r="N401" i="1"/>
  <c r="N400" i="1"/>
  <c r="N399" i="1"/>
  <c r="N450" i="1"/>
  <c r="N449" i="1"/>
  <c r="N448" i="1"/>
  <c r="N447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398" i="1"/>
  <c r="N201" i="1"/>
  <c r="N397" i="1"/>
  <c r="N200" i="1"/>
  <c r="N396" i="1"/>
  <c r="N395" i="1"/>
  <c r="N199" i="1"/>
  <c r="N198" i="1"/>
  <c r="N197" i="1"/>
  <c r="N196" i="1"/>
  <c r="N195" i="1"/>
  <c r="N446" i="1"/>
  <c r="N194" i="1"/>
  <c r="N193" i="1"/>
  <c r="N192" i="1"/>
  <c r="N191" i="1"/>
  <c r="N190" i="1"/>
  <c r="N189" i="1"/>
  <c r="N394" i="1"/>
  <c r="N393" i="1"/>
  <c r="N392" i="1"/>
  <c r="N391" i="1"/>
  <c r="N390" i="1"/>
  <c r="N389" i="1"/>
  <c r="N90" i="1"/>
  <c r="N188" i="1"/>
  <c r="N187" i="1"/>
  <c r="N186" i="1"/>
  <c r="N185" i="1"/>
  <c r="N184" i="1"/>
  <c r="N388" i="1"/>
  <c r="N387" i="1"/>
  <c r="N386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385" i="1"/>
  <c r="N384" i="1"/>
  <c r="N55" i="1"/>
  <c r="N383" i="1"/>
  <c r="N382" i="1"/>
  <c r="N445" i="1"/>
  <c r="N444" i="1"/>
  <c r="N443" i="1"/>
  <c r="N442" i="1"/>
  <c r="N381" i="1"/>
  <c r="N380" i="1"/>
  <c r="N379" i="1"/>
  <c r="N378" i="1"/>
  <c r="N377" i="1"/>
  <c r="N376" i="1"/>
  <c r="N375" i="1"/>
  <c r="N374" i="1"/>
  <c r="N373" i="1"/>
  <c r="N372" i="1"/>
  <c r="N371" i="1"/>
  <c r="N419" i="1"/>
  <c r="N418" i="1"/>
  <c r="N417" i="1"/>
  <c r="N416" i="1"/>
  <c r="N415" i="1"/>
  <c r="N414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</calcChain>
</file>

<file path=xl/sharedStrings.xml><?xml version="1.0" encoding="utf-8"?>
<sst xmlns="http://schemas.openxmlformats.org/spreadsheetml/2006/main" count="11142" uniqueCount="1441">
  <si>
    <t>new_field</t>
  </si>
  <si>
    <t>new_page</t>
  </si>
  <si>
    <t>new_section</t>
  </si>
  <si>
    <t>applies_when</t>
  </si>
  <si>
    <t>flow_notes</t>
  </si>
  <si>
    <t>legacy_file</t>
  </si>
  <si>
    <t>legacy_field</t>
  </si>
  <si>
    <t>fallback_priority</t>
  </si>
  <si>
    <t>transform</t>
  </si>
  <si>
    <t>active</t>
  </si>
  <si>
    <t>notes</t>
  </si>
  <si>
    <t>example_legacy_value</t>
  </si>
  <si>
    <t>example_new_value</t>
  </si>
  <si>
    <t>case_value_preview</t>
  </si>
  <si>
    <t>typeOfLoan</t>
  </si>
  <si>
    <t>Profile</t>
  </si>
  <si>
    <t>Loan Form With Steps</t>
  </si>
  <si>
    <t>Always (drives downstream flow)</t>
  </si>
  <si>
    <t>Core flow selector: New Car / Used Car / Car Cash-in / Refinance.</t>
  </si>
  <si>
    <t>RC_CUSTOMER_ACCOUNT.json</t>
  </si>
  <si>
    <t>CASE_TYPE</t>
  </si>
  <si>
    <t>identity</t>
  </si>
  <si>
    <t>Y</t>
  </si>
  <si>
    <t>**Priority is `CASE_TYPE`**; map contains `cash-in` =&gt; `Car Cash-in`, `refinance` =&gt; `Refinance`, `used` =&gt; `Used Car`, else `New Car`.</t>
  </si>
  <si>
    <t>CPV_DETAIL.json</t>
  </si>
  <si>
    <t>TYPE_OF_LOAN</t>
  </si>
  <si>
    <t>LOAN_TYPE</t>
  </si>
  <si>
    <t>HIRE_PURPOSE</t>
  </si>
  <si>
    <t>PURPOSE_OF_LOAN</t>
  </si>
  <si>
    <t>LOAN_FOR</t>
  </si>
  <si>
    <t>isFinanced</t>
  </si>
  <si>
    <t>Always</t>
  </si>
  <si>
    <t>If No =&gt; cash flow (Profile + Delivery only). If Yes =&gt; Pre-File/Approval/Post-File/Delivery/Payout flow.</t>
  </si>
  <si>
    <t>LOAN_AMOUNT</t>
  </si>
  <si>
    <t>`Car Cash-in/Refinance =&gt; Yes`; else loan amount or financier present =&gt; `Yes`, else `No`.</t>
  </si>
  <si>
    <t>APPLIED_LOAN_AMOUNT</t>
  </si>
  <si>
    <t>LOAN_EXPECTED</t>
  </si>
  <si>
    <t>HP_TO</t>
  </si>
  <si>
    <t>FINANCER</t>
  </si>
  <si>
    <t>currentStage</t>
  </si>
  <si>
    <t>Shared</t>
  </si>
  <si>
    <t>Must respect legacy approval/disbursement progression for migration cases.</t>
  </si>
  <si>
    <t>DATE_OF_DISBURSE</t>
  </si>
  <si>
    <t>If cash loan (`isFinanced=No`) =&gt; `delivery`; cash-in/refinance with disburse =&gt; `payout`; else delivery/disburse/dispatch fallback.</t>
  </si>
  <si>
    <t>RC_RC_INV_STATUS.json</t>
  </si>
  <si>
    <t>DATE_OF_DELIVERY</t>
  </si>
  <si>
    <t>DATE_OF_FILE_DESPATCH</t>
  </si>
  <si>
    <t>DATE_WHEN_FILE_DESPATCH</t>
  </si>
  <si>
    <t>customerName</t>
  </si>
  <si>
    <t>Emicustomer Details</t>
  </si>
  <si>
    <t>CUST_NAME</t>
  </si>
  <si>
    <t>`pickName(...)` uses case-aware row preference.</t>
  </si>
  <si>
    <t>CUSTOMER_NAME</t>
  </si>
  <si>
    <t>applicantType</t>
  </si>
  <si>
    <t>Lead Details</t>
  </si>
  <si>
    <t>Individual vs Company changes form visibility and required sections.</t>
  </si>
  <si>
    <t>HIRE_TYPE</t>
  </si>
  <si>
    <t>`normalizeApplicantType(...)` =&gt; `Individual`/`Company`.</t>
  </si>
  <si>
    <t>primaryMobile</t>
  </si>
  <si>
    <t>OFF_PHONE1</t>
  </si>
  <si>
    <t>Clean numeric text.</t>
  </si>
  <si>
    <t>GURANTOR.json</t>
  </si>
  <si>
    <t>OFF_PHONE</t>
  </si>
  <si>
    <t>PHONE_NUMBERS_OFFICE</t>
  </si>
  <si>
    <t>AUTH_SIGNATORY.json</t>
  </si>
  <si>
    <t>PHONE</t>
  </si>
  <si>
    <t>RESI_PHONE1</t>
  </si>
  <si>
    <t>MOBILE</t>
  </si>
  <si>
    <t>MOBILE_NUMBER</t>
  </si>
  <si>
    <t>PHONE_NUMBERS_RESI</t>
  </si>
  <si>
    <t>primaryMobileAlt</t>
  </si>
  <si>
    <t>RESI_PHONE2</t>
  </si>
  <si>
    <t>First number different from primary.</t>
  </si>
  <si>
    <t>RESI_PHONE</t>
  </si>
  <si>
    <t>email</t>
  </si>
  <si>
    <t>E_MAIL</t>
  </si>
  <si>
    <t>clean text</t>
  </si>
  <si>
    <t>EMAIL_ADDRESS</t>
  </si>
  <si>
    <t>panNumber</t>
  </si>
  <si>
    <t>Header / Shared</t>
  </si>
  <si>
    <t>Loan Sticky Header</t>
  </si>
  <si>
    <t>PAN_NUMBER</t>
  </si>
  <si>
    <t>gstNumber</t>
  </si>
  <si>
    <t>PersonalDetailsSimplified</t>
  </si>
  <si>
    <t>GST_NUMBER</t>
  </si>
  <si>
    <t>company flow only</t>
  </si>
  <si>
    <t>residenceAddress</t>
  </si>
  <si>
    <t>Pre-File</t>
  </si>
  <si>
    <t>OFF_ADD1</t>
  </si>
  <si>
    <t>joined cleaned text</t>
  </si>
  <si>
    <t>RESI_ADD1</t>
  </si>
  <si>
    <t>RESIDENCE_ADDRESS</t>
  </si>
  <si>
    <t>RESI_ADDRESS</t>
  </si>
  <si>
    <t>CUST_ADDRESS</t>
  </si>
  <si>
    <t>ADDRESS</t>
  </si>
  <si>
    <t>pincode</t>
  </si>
  <si>
    <t>Personal Details Pre File</t>
  </si>
  <si>
    <t>OFF_PIN</t>
  </si>
  <si>
    <t>clean</t>
  </si>
  <si>
    <t>RESI_PIN</t>
  </si>
  <si>
    <t>city</t>
  </si>
  <si>
    <t>OFF_CITY</t>
  </si>
  <si>
    <t>RESI_CITY</t>
  </si>
  <si>
    <t>permanentAddress</t>
  </si>
  <si>
    <t>PERMANENT_ADDRESS</t>
  </si>
  <si>
    <t>Parsed; if empty/NA then same as current.</t>
  </si>
  <si>
    <t>registrationAddress</t>
  </si>
  <si>
    <t>Vehicle Pricing Loan Details</t>
  </si>
  <si>
    <t>ADDRESS_FOR_REGISTER</t>
  </si>
  <si>
    <t>Office/GST =&gt; current; Permanent =&gt; permanent; Resi/Aadhaar =&gt; current; else company=&gt;current else permanent/current.</t>
  </si>
  <si>
    <t>registerSameAsAadhaar</t>
  </si>
  <si>
    <t>IS_CAR_REGISTER_ON_SAME_ADDRES</t>
  </si>
  <si>
    <t>derived</t>
  </si>
  <si>
    <t>normalize yes/no, else derived from address equality.</t>
  </si>
  <si>
    <t>vehicleMake</t>
  </si>
  <si>
    <t>MAKE_MODEL</t>
  </si>
  <si>
    <t>In raw mode, prefer legacy-safe resolution with conservative fallback.</t>
  </si>
  <si>
    <t>DELIVERED_MAKE_MODEL</t>
  </si>
  <si>
    <t>CAR_MODEL</t>
  </si>
  <si>
    <t>boughtInYear</t>
  </si>
  <si>
    <t>Post File Vehicle Verification</t>
  </si>
  <si>
    <t>BOUGHT_IN_YEAR</t>
  </si>
  <si>
    <t>parse 4-digit/2-digit year normalization</t>
  </si>
  <si>
    <t>VEHICLE_YEAR</t>
  </si>
  <si>
    <t>exShowroomPrice</t>
  </si>
  <si>
    <t>EX_SHOWROOM_OR_VALUATION</t>
  </si>
  <si>
    <t>numeric</t>
  </si>
  <si>
    <t>purposeOfLoan</t>
  </si>
  <si>
    <t>normalized with loan-type rules</t>
  </si>
  <si>
    <t>loan_number</t>
  </si>
  <si>
    <t>Post-File</t>
  </si>
  <si>
    <t>PostFileDispatchAndRecords</t>
  </si>
  <si>
    <t>LOAN_NUMBER_PREFIX</t>
  </si>
  <si>
    <t>concatenated available parts</t>
  </si>
  <si>
    <t>loanTenureMonths</t>
  </si>
  <si>
    <t>Finance Details Form</t>
  </si>
  <si>
    <t>TENOR</t>
  </si>
  <si>
    <t>APPLIED_TENOR</t>
  </si>
  <si>
    <t>TENDOR</t>
  </si>
  <si>
    <t>financeExpectation</t>
  </si>
  <si>
    <t>hypothecationBank</t>
  </si>
  <si>
    <t>normalized bank name</t>
  </si>
  <si>
    <t>bankName</t>
  </si>
  <si>
    <t>CUSTOMER_BANK.json</t>
  </si>
  <si>
    <t>BANK_NAME</t>
  </si>
  <si>
    <t>accountNumber</t>
  </si>
  <si>
    <t>Post File Dispatch And Records</t>
  </si>
  <si>
    <t>CA_ACCOUNT_NO</t>
  </si>
  <si>
    <t>SB_ACCOUNT_NO</t>
  </si>
  <si>
    <t>branch</t>
  </si>
  <si>
    <t>BANK_ADDRESS</t>
  </si>
  <si>
    <t>totalIncome</t>
  </si>
  <si>
    <t>ANNUAL_INCOME</t>
  </si>
  <si>
    <t>totalIncomeITR</t>
  </si>
  <si>
    <t>Income Banking Details Pre File</t>
  </si>
  <si>
    <t>dob</t>
  </si>
  <si>
    <t>DATE_OF_BIRTH</t>
  </si>
  <si>
    <t>ISO date</t>
  </si>
  <si>
    <t>gender</t>
  </si>
  <si>
    <t>SEX</t>
  </si>
  <si>
    <t>normalized</t>
  </si>
  <si>
    <t>motherName</t>
  </si>
  <si>
    <t>MOTHERS_MAIDEN_NAME</t>
  </si>
  <si>
    <t>sdwOf</t>
  </si>
  <si>
    <t>FATHERS_NAME_FIRST</t>
  </si>
  <si>
    <t>maritalStatus</t>
  </si>
  <si>
    <t>Personal Details Simplified</t>
  </si>
  <si>
    <t>MARITAL_STATUS</t>
  </si>
  <si>
    <t>dependents</t>
  </si>
  <si>
    <t>NO_OF_DEPENDANTS</t>
  </si>
  <si>
    <t>education</t>
  </si>
  <si>
    <t>EDUCATION</t>
  </si>
  <si>
    <t>houseType</t>
  </si>
  <si>
    <t>RESIDENCE_TYPE</t>
  </si>
  <si>
    <t>normalized (e.g., your own-&gt;Owned)</t>
  </si>
  <si>
    <t>yearsInCurrentCity</t>
  </si>
  <si>
    <t>YEARS_AT_RESIDENCE</t>
  </si>
  <si>
    <t>yearsInCurrentHouse</t>
  </si>
  <si>
    <t>identityProofNumber</t>
  </si>
  <si>
    <t>AADHAAR_NUMBER</t>
  </si>
  <si>
    <t>addressProofNumber</t>
  </si>
  <si>
    <t>occupationType</t>
  </si>
  <si>
    <t>Occupational Details Pre File</t>
  </si>
  <si>
    <t>PROFESSION_TYPE</t>
  </si>
  <si>
    <t>companyType</t>
  </si>
  <si>
    <t>CATEGORY</t>
  </si>
  <si>
    <t>ORGANISATION_TYPE</t>
  </si>
  <si>
    <t>businessNature</t>
  </si>
  <si>
    <t>multi-value combined</t>
  </si>
  <si>
    <t>designation</t>
  </si>
  <si>
    <t>Authorised Signatory Section</t>
  </si>
  <si>
    <t>DESIGNATION_1</t>
  </si>
  <si>
    <t>INDUSTRY_DETAIL</t>
  </si>
  <si>
    <t>experienceCurrent</t>
  </si>
  <si>
    <t>YEAR_AT_PROFESSION</t>
  </si>
  <si>
    <t>totalExperience</t>
  </si>
  <si>
    <t>employmentAddress</t>
  </si>
  <si>
    <t>employmentPincode</t>
  </si>
  <si>
    <t>employmentCity</t>
  </si>
  <si>
    <t>reference1_*</t>
  </si>
  <si>
    <t>REF1_NAME</t>
  </si>
  <si>
    <t>`pincode` extracted from address (2-digit Delhi suffix -&gt; `1100xx` rule in helper); city guessed.</t>
  </si>
  <si>
    <t>reference2_*</t>
  </si>
  <si>
    <t>REF2_NAME</t>
  </si>
  <si>
    <t>same as above</t>
  </si>
  <si>
    <t>referenceName` (record details)</t>
  </si>
  <si>
    <t>RC_SOURCE_REFERENCE.json</t>
  </si>
  <si>
    <t>REFERENCE_BY</t>
  </si>
  <si>
    <t>pre-file record section</t>
  </si>
  <si>
    <t>referenceNumber` (record details)</t>
  </si>
  <si>
    <t>PHONE_NUMBER</t>
  </si>
  <si>
    <t>recordSource</t>
  </si>
  <si>
    <t>SOURCE</t>
  </si>
  <si>
    <t>default `Direct`</t>
  </si>
  <si>
    <t>sourceName</t>
  </si>
  <si>
    <t>Record source = Indirect (or available source capture)</t>
  </si>
  <si>
    <t>Map from SOURCE-like legacy field. Do NOT swap with dealtBy.</t>
  </si>
  <si>
    <t>SOURCE_BY</t>
  </si>
  <si>
    <t>SOURCE_NAME</t>
  </si>
  <si>
    <t>CASE_ORIGIN</t>
  </si>
  <si>
    <t>docsPreparedBy</t>
  </si>
  <si>
    <t>Section7Record Details</t>
  </si>
  <si>
    <t>Pre-file/Post-file record details</t>
  </si>
  <si>
    <t>Map from PRE/POST docs prepared-by chain, not source channel.</t>
  </si>
  <si>
    <t>RC_DOC_DESPATCH_MASTER.json</t>
  </si>
  <si>
    <t>DOCS_PREPARED_BY</t>
  </si>
  <si>
    <t>PRE_DOCS_PREPARED_BY</t>
  </si>
  <si>
    <t>dsaCode</t>
  </si>
  <si>
    <t>LoanFormWithSteps</t>
  </si>
  <si>
    <t>DSA_CODE</t>
  </si>
  <si>
    <t>dealerName</t>
  </si>
  <si>
    <t>PAYMENT_FAVOURING_AT_DESPATCH</t>
  </si>
  <si>
    <t>ignored if literal `customer name`</t>
  </si>
  <si>
    <t>receivingDate</t>
  </si>
  <si>
    <t>DATE_WHEN_FILE_RECEIVED</t>
  </si>
  <si>
    <t>date</t>
  </si>
  <si>
    <t>DATE_OF_DESP</t>
  </si>
  <si>
    <t>CPV_DATE</t>
  </si>
  <si>
    <t>receivingTime</t>
  </si>
  <si>
    <t>TIME_WHEN_FILE_RECEIVED</t>
  </si>
  <si>
    <t>time normalize</t>
  </si>
  <si>
    <t>TIME_OF_DESP</t>
  </si>
  <si>
    <t>approval_bankName` / `postfile_bankName</t>
  </si>
  <si>
    <t>bank normalization</t>
  </si>
  <si>
    <t>approval_loanAmountApproved` / `postfile_loanAmountApproved</t>
  </si>
  <si>
    <t>approval_roi` / `postfile_roi</t>
  </si>
  <si>
    <t>ROI</t>
  </si>
  <si>
    <t>approval_tenureMonths` / `postfile_tenureMonths</t>
  </si>
  <si>
    <t>approval_approvalDate</t>
  </si>
  <si>
    <t>Approval</t>
  </si>
  <si>
    <t>Financed flow</t>
  </si>
  <si>
    <t>For legacy migration, use disbursement date when explicit approval date is absent.</t>
  </si>
  <si>
    <t>ISO</t>
  </si>
  <si>
    <t>approval_disbursedDate` / `disbursement_date</t>
  </si>
  <si>
    <t>postfile_firstEmiDate</t>
  </si>
  <si>
    <t>EMI_DUE_DATE</t>
  </si>
  <si>
    <t>postfile_emiAmount</t>
  </si>
  <si>
    <t>EMI</t>
  </si>
  <si>
    <t>postfile_emiPlan` + `emiPlan</t>
  </si>
  <si>
    <t>EMI_PLAN</t>
  </si>
  <si>
    <t>normalized (`1+1`, etc.)</t>
  </si>
  <si>
    <t>postfile_emiMode</t>
  </si>
  <si>
    <t>Post File Approval Details</t>
  </si>
  <si>
    <t>EMI_TYPE_ARREAR_ADVANCE</t>
  </si>
  <si>
    <t>default `Arrear`</t>
  </si>
  <si>
    <t>postfile_disbursedCreditAssured</t>
  </si>
  <si>
    <t>Emicalculator</t>
  </si>
  <si>
    <t>ICICI_CREDIT_ASSURED</t>
  </si>
  <si>
    <t>postfile_disbursedInsurance</t>
  </si>
  <si>
    <t>INSURANCE_FINANCED</t>
  </si>
  <si>
    <t>dispatch_date</t>
  </si>
  <si>
    <t>dispatch_time</t>
  </si>
  <si>
    <t>time</t>
  </si>
  <si>
    <t>TIME_OF_FILE_DESPATCH</t>
  </si>
  <si>
    <t>dispatch_through</t>
  </si>
  <si>
    <t>DESP_THROUGH</t>
  </si>
  <si>
    <t>DESPATCH_FOR_APPROVAL_THROUGH</t>
  </si>
  <si>
    <t>delivery_date</t>
  </si>
  <si>
    <t>Delivery</t>
  </si>
  <si>
    <t>Vehicle Delivery Step</t>
  </si>
  <si>
    <t>only when `typeOfLoan=New Car` in payload currently</t>
  </si>
  <si>
    <t>invoice_number</t>
  </si>
  <si>
    <t>RC_RC_INV_RECEIVING_DETAIL.json</t>
  </si>
  <si>
    <t>INVOICE_NUMBER</t>
  </si>
  <si>
    <t>invoice-row priority logic</t>
  </si>
  <si>
    <t>invoice_date</t>
  </si>
  <si>
    <t>INVOICE_DATE</t>
  </si>
  <si>
    <t>invoice_received_as</t>
  </si>
  <si>
    <t>INV_RECEIVED_ON_DATE_2</t>
  </si>
  <si>
    <t>normalized enum</t>
  </si>
  <si>
    <t>invoice_received_from</t>
  </si>
  <si>
    <t>INV_RECEIVED_FROM</t>
  </si>
  <si>
    <t>invoice_received_date</t>
  </si>
  <si>
    <t>INV_RECEIVED_ON_DATE</t>
  </si>
  <si>
    <t>rc_redg_no</t>
  </si>
  <si>
    <t>REGD_NUMBER</t>
  </si>
  <si>
    <t>REGISTRATION_NUMBER</t>
  </si>
  <si>
    <t>rc_chassis_no</t>
  </si>
  <si>
    <t>CHASIS_NUMBER</t>
  </si>
  <si>
    <t>rc_engine_no</t>
  </si>
  <si>
    <t>ENGINE_NUMBER</t>
  </si>
  <si>
    <t>rc_redg_date</t>
  </si>
  <si>
    <t>DATE_OF_REGISTRATION</t>
  </si>
  <si>
    <t>rc_received_as</t>
  </si>
  <si>
    <t>RC_RECEIVED_AS_1</t>
  </si>
  <si>
    <t>rc_received_from</t>
  </si>
  <si>
    <t>RC_RECEIVED_FROM</t>
  </si>
  <si>
    <t>rc_received_date</t>
  </si>
  <si>
    <t>RC_RECEIVED_ON_DATE</t>
  </si>
  <si>
    <t>prefile_sourcePayoutPercentage</t>
  </si>
  <si>
    <t>Payout Section</t>
  </si>
  <si>
    <t>PAYOUT_RATE</t>
  </si>
  <si>
    <t>payoutPercentage</t>
  </si>
  <si>
    <t>co_customerName</t>
  </si>
  <si>
    <t>Co Applicant Section</t>
  </si>
  <si>
    <t>NAME_1</t>
  </si>
  <si>
    <t>NAME</t>
  </si>
  <si>
    <t>co_primaryMobile</t>
  </si>
  <si>
    <t>PHONE_1</t>
  </si>
  <si>
    <t>co_address</t>
  </si>
  <si>
    <t>ADD1_1</t>
  </si>
  <si>
    <t>co_pincode</t>
  </si>
  <si>
    <t>PIN_1</t>
  </si>
  <si>
    <t>co_city</t>
  </si>
  <si>
    <t>CITY_1</t>
  </si>
  <si>
    <t>co_dob</t>
  </si>
  <si>
    <t>DATE_OF_BIRTH_1</t>
  </si>
  <si>
    <t>co_aadhaar</t>
  </si>
  <si>
    <t>AUTH_AADHAAR_NUMBER</t>
  </si>
  <si>
    <t>G_AADHAAR_NUMBER</t>
  </si>
  <si>
    <t>co_dependents</t>
  </si>
  <si>
    <t>NO_OF_DEPEND</t>
  </si>
  <si>
    <t>co_houseType</t>
  </si>
  <si>
    <t>co_designation</t>
  </si>
  <si>
    <t>co_currentExperience` / `co_totalExperience</t>
  </si>
  <si>
    <t>signatory_customerName</t>
  </si>
  <si>
    <t>signatory_primaryMobile</t>
  </si>
  <si>
    <t>signatory_address</t>
  </si>
  <si>
    <t>signatory_pincode</t>
  </si>
  <si>
    <t>signatory_city</t>
  </si>
  <si>
    <t>signatory_dob</t>
  </si>
  <si>
    <t>signatory_designation</t>
  </si>
  <si>
    <t>AuthorisedSignatorySection</t>
  </si>
  <si>
    <t>signatory_aadhaar</t>
  </si>
  <si>
    <t>AADHAAR_NUMBER_1</t>
  </si>
  <si>
    <t>instrumentType</t>
  </si>
  <si>
    <t>Post File Instrument Details</t>
  </si>
  <si>
    <t>RC_INSTRUMENT_DETAIL.json</t>
  </si>
  <si>
    <t>INSTRMNT_TYPE</t>
  </si>
  <si>
    <t>Priority: `SI` &gt; `ECS` &gt; `Cheque`.</t>
  </si>
  <si>
    <t>si_accountNumber</t>
  </si>
  <si>
    <t>ACCOUNT_NUMBER</t>
  </si>
  <si>
    <t>si_signedBy</t>
  </si>
  <si>
    <t>INSTRMNT_BY_BORWR_GRNTR</t>
  </si>
  <si>
    <t>normalized party</t>
  </si>
  <si>
    <t>aadhaarCardDocUrl</t>
  </si>
  <si>
    <t>Documents List</t>
  </si>
  <si>
    <t>aadhaarNumber</t>
  </si>
  <si>
    <t>accessoriesAmount</t>
  </si>
  <si>
    <t>accountSinceYears</t>
  </si>
  <si>
    <t>accountType</t>
  </si>
  <si>
    <t>addressProofDocUrl</t>
  </si>
  <si>
    <t>addressProofType</t>
  </si>
  <si>
    <t>addressType</t>
  </si>
  <si>
    <t>advanceEmi</t>
  </si>
  <si>
    <t>approval_bankId</t>
  </si>
  <si>
    <t>approval_bankName</t>
  </si>
  <si>
    <t>approval_banksData</t>
  </si>
  <si>
    <t>approval_breakup_creditAssured</t>
  </si>
  <si>
    <t>approval_breakup_ewFinance</t>
  </si>
  <si>
    <t>approval_breakup_insuranceFinance</t>
  </si>
  <si>
    <t>approval_breakup_netLoanApproved</t>
  </si>
  <si>
    <t>approval_disbursedDate</t>
  </si>
  <si>
    <t>Critical for post-file/delivery unlock in migrated records.</t>
  </si>
  <si>
    <t>approval_loanAmountApproved</t>
  </si>
  <si>
    <t>approval_loanAmountDisbursed</t>
  </si>
  <si>
    <t>approval_processingFees</t>
  </si>
  <si>
    <t>approval_roi</t>
  </si>
  <si>
    <t>approval_status</t>
  </si>
  <si>
    <t>Set approved/disbursed correctly; downstream stages depend on it.</t>
  </si>
  <si>
    <t>approval_statusHistory</t>
  </si>
  <si>
    <t>Loan Approval Step</t>
  </si>
  <si>
    <t>approval_tenureMonths</t>
  </si>
  <si>
    <t>billDate</t>
  </si>
  <si>
    <t>Payout</t>
  </si>
  <si>
    <t>Bill Printing Modal</t>
  </si>
  <si>
    <t>billNumber</t>
  </si>
  <si>
    <t>bulk_next_action</t>
  </si>
  <si>
    <t>Payout Receivables Dashboard</t>
  </si>
  <si>
    <t>bulk_priority</t>
  </si>
  <si>
    <t>bulk_remarks</t>
  </si>
  <si>
    <t>caseType</t>
  </si>
  <si>
    <t>cheque_1_accountNumber</t>
  </si>
  <si>
    <t>PostFileInstrumentDetails</t>
  </si>
  <si>
    <t>cheque_1_amount</t>
  </si>
  <si>
    <t>cheque_1_bankName</t>
  </si>
  <si>
    <t>cheque_1_date</t>
  </si>
  <si>
    <t>cheque_1_favouring</t>
  </si>
  <si>
    <t>cheque_1_number</t>
  </si>
  <si>
    <t>cheque_1_signedBy</t>
  </si>
  <si>
    <t>cheque_1_tag</t>
  </si>
  <si>
    <t>co_aadhaarCardDocUrl</t>
  </si>
  <si>
    <t>co_addressProofDocUrl</t>
  </si>
  <si>
    <t>co_businessNature</t>
  </si>
  <si>
    <t>co_companyAddress</t>
  </si>
  <si>
    <t>co_companyCity</t>
  </si>
  <si>
    <t>co_companyName</t>
  </si>
  <si>
    <t>co_companyPhone</t>
  </si>
  <si>
    <t>co_companyPincode</t>
  </si>
  <si>
    <t>co_companyType</t>
  </si>
  <si>
    <t>co_currentExperience</t>
  </si>
  <si>
    <t>co_dlDocUrl</t>
  </si>
  <si>
    <t>co_education</t>
  </si>
  <si>
    <t>co_fatherName</t>
  </si>
  <si>
    <t>co_gender</t>
  </si>
  <si>
    <t>co_id</t>
  </si>
  <si>
    <t>co_maritalStatus</t>
  </si>
  <si>
    <t>co_motherName</t>
  </si>
  <si>
    <t>co_name</t>
  </si>
  <si>
    <t>co_occupation</t>
  </si>
  <si>
    <t>co_pan</t>
  </si>
  <si>
    <t>co_panCardDocUrl</t>
  </si>
  <si>
    <t>co_passportDocUrl</t>
  </si>
  <si>
    <t>co_professionalType</t>
  </si>
  <si>
    <t>co_totalExperience</t>
  </si>
  <si>
    <t>coApplicant_name</t>
  </si>
  <si>
    <t>collection_last_followup</t>
  </si>
  <si>
    <t>collection_next_action</t>
  </si>
  <si>
    <t>collection_remarks</t>
  </si>
  <si>
    <t>companyName</t>
  </si>
  <si>
    <t>completedDate</t>
  </si>
  <si>
    <t>contactPersonMobile</t>
  </si>
  <si>
    <t>PersonalDetailsPreFile</t>
  </si>
  <si>
    <t>contactPersonName</t>
  </si>
  <si>
    <t>createdAt</t>
  </si>
  <si>
    <t>customerAadhar</t>
  </si>
  <si>
    <t>customerAddress</t>
  </si>
  <si>
    <t>customerEmail</t>
  </si>
  <si>
    <t>customerId</t>
  </si>
  <si>
    <t>customerIdDisplay</t>
  </si>
  <si>
    <t>IncomeBankingDetailsPreFile</t>
  </si>
  <si>
    <t>customerPan</t>
  </si>
  <si>
    <t>customerType</t>
  </si>
  <si>
    <t>Post File Document Management</t>
  </si>
  <si>
    <t>dealerAddress</t>
  </si>
  <si>
    <t>dealerContactNumber</t>
  </si>
  <si>
    <t>dealerContactPerson</t>
  </si>
  <si>
    <t>dealerDiscount</t>
  </si>
  <si>
    <t>Vehicle Pricing Popup</t>
  </si>
  <si>
    <t>dealerMobile</t>
  </si>
  <si>
    <t>dealtBy</t>
  </si>
  <si>
    <t>Record details / dispatch handling</t>
  </si>
  <si>
    <t>Map from DEALT_BY-like legacy field. Do NOT swap with sourceName.</t>
  </si>
  <si>
    <t>delivery_by</t>
  </si>
  <si>
    <t>delivery_dealerAddress</t>
  </si>
  <si>
    <t>delivery_dealerContactNumber</t>
  </si>
  <si>
    <t>delivery_dealerContactPerson</t>
  </si>
  <si>
    <t>delivery_dealerName</t>
  </si>
  <si>
    <t>delivery_invoiceFile</t>
  </si>
  <si>
    <t>delivery_rcFile</t>
  </si>
  <si>
    <t>deliveryStatus</t>
  </si>
  <si>
    <t>disburse_bankName</t>
  </si>
  <si>
    <t>disburse_remarks</t>
  </si>
  <si>
    <t>disburse_status</t>
  </si>
  <si>
    <t>disburseAmount</t>
  </si>
  <si>
    <t>Disbursement Step</t>
  </si>
  <si>
    <t>disbursedDate</t>
  </si>
  <si>
    <t>disbursement_date</t>
  </si>
  <si>
    <t>Keep aligned with approval_disbursedDate.</t>
  </si>
  <si>
    <t>disbursement_status</t>
  </si>
  <si>
    <t>disbursement_time</t>
  </si>
  <si>
    <t>disbursementDate</t>
  </si>
  <si>
    <t>disbursementStatus</t>
  </si>
  <si>
    <t>dlDocUrl</t>
  </si>
  <si>
    <t>downPayment</t>
  </si>
  <si>
    <t>ecs_accountNumber</t>
  </si>
  <si>
    <t>ecs_amount</t>
  </si>
  <si>
    <t>ecs_bankName</t>
  </si>
  <si>
    <t>ecs_date</t>
  </si>
  <si>
    <t>ecs_favouring</t>
  </si>
  <si>
    <t>ecs_image</t>
  </si>
  <si>
    <t>ecs_micrCode</t>
  </si>
  <si>
    <t>ecs_signedBy</t>
  </si>
  <si>
    <t>ecs_tag</t>
  </si>
  <si>
    <t>employmentPhone</t>
  </si>
  <si>
    <t>gstDocUrl</t>
  </si>
  <si>
    <t>gu_aadhaar</t>
  </si>
  <si>
    <t>Guarantor Section</t>
  </si>
  <si>
    <t>gu_aadhaarCardDocUrl</t>
  </si>
  <si>
    <t>gu_address</t>
  </si>
  <si>
    <t>gu_addressProofDocUrl</t>
  </si>
  <si>
    <t>gu_businessNature</t>
  </si>
  <si>
    <t>gu_city</t>
  </si>
  <si>
    <t>gu_companyAddress</t>
  </si>
  <si>
    <t>gu_companyCity</t>
  </si>
  <si>
    <t>gu_companyName</t>
  </si>
  <si>
    <t>gu_companyPhone</t>
  </si>
  <si>
    <t>gu_companyPincode</t>
  </si>
  <si>
    <t>gu_companyType</t>
  </si>
  <si>
    <t>gu_currentExperience</t>
  </si>
  <si>
    <t>gu_customerName</t>
  </si>
  <si>
    <t>gu_dependents</t>
  </si>
  <si>
    <t>gu_designation</t>
  </si>
  <si>
    <t>gu_dlDocUrl</t>
  </si>
  <si>
    <t>gu_dob</t>
  </si>
  <si>
    <t>gu_education</t>
  </si>
  <si>
    <t>gu_fatherName</t>
  </si>
  <si>
    <t>gu_gender</t>
  </si>
  <si>
    <t>gu_houseType</t>
  </si>
  <si>
    <t>gu_id</t>
  </si>
  <si>
    <t>gu_maritalStatus</t>
  </si>
  <si>
    <t>gu_motherName</t>
  </si>
  <si>
    <t>gu_name</t>
  </si>
  <si>
    <t>gu_occupation</t>
  </si>
  <si>
    <t>gu_pan</t>
  </si>
  <si>
    <t>gu_panCardDocUrl</t>
  </si>
  <si>
    <t>gu_passportDocUrl</t>
  </si>
  <si>
    <t>gu_pincode</t>
  </si>
  <si>
    <t>gu_primaryMobile</t>
  </si>
  <si>
    <t>gu_professionalType</t>
  </si>
  <si>
    <t>gu_totalExperience</t>
  </si>
  <si>
    <t>guarantor_name</t>
  </si>
  <si>
    <t>hasCoApplicant</t>
  </si>
  <si>
    <t>hasGuarantor</t>
  </si>
  <si>
    <t>hypothecation</t>
  </si>
  <si>
    <t>hypothecationDocUrl</t>
  </si>
  <si>
    <t>identityProofExpiry</t>
  </si>
  <si>
    <t>identityProofType</t>
  </si>
  <si>
    <t>ifsc</t>
  </si>
  <si>
    <t>ifscCode</t>
  </si>
  <si>
    <t>insurance_by</t>
  </si>
  <si>
    <t>insurance_company_name</t>
  </si>
  <si>
    <t>insurance_policy_duration_od</t>
  </si>
  <si>
    <t>VehicleDeliveryStep</t>
  </si>
  <si>
    <t>insurance_policy_end_date_od</t>
  </si>
  <si>
    <t>insurance_policy_number</t>
  </si>
  <si>
    <t>insurance_policy_start_date</t>
  </si>
  <si>
    <t>insuranceCost</t>
  </si>
  <si>
    <t>insurancePolicyUrl</t>
  </si>
  <si>
    <t>isMSME</t>
  </si>
  <si>
    <t>isMultipleCars</t>
  </si>
  <si>
    <t>Bulk Loan Creation Section</t>
  </si>
  <si>
    <t>isSameVehicle</t>
  </si>
  <si>
    <t>leadDate</t>
  </si>
  <si>
    <t>leadTime</t>
  </si>
  <si>
    <t>loan_notes</t>
  </si>
  <si>
    <t>loan_payables</t>
  </si>
  <si>
    <t>loan_receivables</t>
  </si>
  <si>
    <t>loanAmount</t>
  </si>
  <si>
    <t>loanId</t>
  </si>
  <si>
    <t>loanType</t>
  </si>
  <si>
    <t>manufacturerDiscount</t>
  </si>
  <si>
    <t>marginMoney</t>
  </si>
  <si>
    <t>mobileNo</t>
  </si>
  <si>
    <t>nach_accountNumber</t>
  </si>
  <si>
    <t>nach_image</t>
  </si>
  <si>
    <t>nach_signedBy</t>
  </si>
  <si>
    <t>NEW</t>
  </si>
  <si>
    <t>numberOfCars</t>
  </si>
  <si>
    <t>officialEmail</t>
  </si>
  <si>
    <t>onRoadPrice</t>
  </si>
  <si>
    <t>openedIn</t>
  </si>
  <si>
    <t>otherDiscounts</t>
  </si>
  <si>
    <t>paid_date</t>
  </si>
  <si>
    <t>PayoutPayablesDashboard</t>
  </si>
  <si>
    <t>panCardDocUrl</t>
  </si>
  <si>
    <t>passportDocUrl</t>
  </si>
  <si>
    <t>payment_amount</t>
  </si>
  <si>
    <t>payment_date</t>
  </si>
  <si>
    <t>payment_remarks</t>
  </si>
  <si>
    <t>payoutApplicable</t>
  </si>
  <si>
    <t>payoutStatus</t>
  </si>
  <si>
    <t>permanentCity</t>
  </si>
  <si>
    <t>permanentPincode</t>
  </si>
  <si>
    <t>photoUrl</t>
  </si>
  <si>
    <t>postfile_approvalDate</t>
  </si>
  <si>
    <t>postfile_bankName</t>
  </si>
  <si>
    <t>postfile_disbursedEw</t>
  </si>
  <si>
    <t>postfile_disbursedLoan</t>
  </si>
  <si>
    <t>postfile_disbursedLoanTotal</t>
  </si>
  <si>
    <t>postfile_documents</t>
  </si>
  <si>
    <t>postfile_emiPlan</t>
  </si>
  <si>
    <t>postfile_loanAmountApproved</t>
  </si>
  <si>
    <t>postfile_loanAmountDisbursed</t>
  </si>
  <si>
    <t>postfile_maturityDate</t>
  </si>
  <si>
    <t>postfile_processingFees</t>
  </si>
  <si>
    <t>postfile_regd_city</t>
  </si>
  <si>
    <t>postfile_roi</t>
  </si>
  <si>
    <t>postfile_roiType</t>
  </si>
  <si>
    <t>postfile_sameAsApproved</t>
  </si>
  <si>
    <t>postfile_tags</t>
  </si>
  <si>
    <t>postfile_tenureMonths</t>
  </si>
  <si>
    <t>postFileStatus</t>
  </si>
  <si>
    <t>professionalType</t>
  </si>
  <si>
    <t>rc_inv_storage_number</t>
  </si>
  <si>
    <t>received_date</t>
  </si>
  <si>
    <t>referenceName</t>
  </si>
  <si>
    <t>referenceNumber</t>
  </si>
  <si>
    <t>registerSameAsPermanent</t>
  </si>
  <si>
    <t>VehiclePricingLoanDetails</t>
  </si>
  <si>
    <t>registrationCity</t>
  </si>
  <si>
    <t>registrationPincode</t>
  </si>
  <si>
    <t>remarks</t>
  </si>
  <si>
    <t>roadTax</t>
  </si>
  <si>
    <t>sameAsCurrentAddress</t>
  </si>
  <si>
    <t>showroomDealerAddress</t>
  </si>
  <si>
    <t>showroomDealerContactNumber</t>
  </si>
  <si>
    <t>showroomDealerContactPerson</t>
  </si>
  <si>
    <t>showroomDealerName</t>
  </si>
  <si>
    <t>si_image</t>
  </si>
  <si>
    <t>signatory_gender</t>
  </si>
  <si>
    <t>signatory_id</t>
  </si>
  <si>
    <t>signatory_pan</t>
  </si>
  <si>
    <t>signatorySameAsCoApplicant</t>
  </si>
  <si>
    <t>signatureUrl</t>
  </si>
  <si>
    <t>source</t>
  </si>
  <si>
    <t>sourceDetails</t>
  </si>
  <si>
    <t>status</t>
  </si>
  <si>
    <t>tenure</t>
  </si>
  <si>
    <t>total_amount_received</t>
  </si>
  <si>
    <t>tradeInValue</t>
  </si>
  <si>
    <t>updatedAt</t>
  </si>
  <si>
    <t>usage</t>
  </si>
  <si>
    <t>valuation</t>
  </si>
  <si>
    <t>vehicleChassisNo</t>
  </si>
  <si>
    <t>vehicleEngineNo</t>
  </si>
  <si>
    <t>vehicleModel</t>
  </si>
  <si>
    <t>vehiclePhotoUrl</t>
  </si>
  <si>
    <t>vehicleRCUrl</t>
  </si>
  <si>
    <t>vehicleRegNo</t>
  </si>
  <si>
    <t>vehicleVariant</t>
  </si>
  <si>
    <t>yearOfManufacture</t>
  </si>
  <si>
    <t>new_type</t>
  </si>
  <si>
    <t>new_source_files</t>
  </si>
  <si>
    <t>string</t>
  </si>
  <si>
    <t>src/modules/loans/components/loan-form/post-file/DocumentsList.jsx; src/modules/loans/components/loan-form/post-file/PostFileDocumentManagement.jsx</t>
  </si>
  <si>
    <t>src/modules/loans/components/LoanStickyHeader.jsx</t>
  </si>
  <si>
    <t>number</t>
  </si>
  <si>
    <t>src/modules/loans/components/loan-form/post-file/PostFileVehicleVerification.jsx; src/modules/loans/components/loan-form/pre-file/VehiclePricingLoanDetails.jsx</t>
  </si>
  <si>
    <t>src/modules/loans/components/loan-form/post-file/PostFileDispatchAndRecords.jsx; src/modules/loans/components/loan-form/pre-file/IncomeBankingDetailsPreFile.jsx</t>
  </si>
  <si>
    <t>src/modules/loans/components/loan-form/pre-file/IncomeBankingDetailsPreFile.jsx</t>
  </si>
  <si>
    <t>boolean</t>
  </si>
  <si>
    <t>src/modules/loans/components/loan-form/pre-file/PersonalDetailsPreFile.jsx</t>
  </si>
  <si>
    <t>src/modules/loans/components/loan-form/pre-file/VehiclePricingLoanDetails.jsx</t>
  </si>
  <si>
    <t>src/modules/loans/components/loan-form/customer-profile/LeadDetails.jsx; src/modules/loans/components/loan-form/pre-file/AuthorisedSignatorySection.jsx; src/modules/loans/components/loan-form/pre-file/OccupationalDetailsPreFile.jsx</t>
  </si>
  <si>
    <t>src/modules/loans/components/LoanFormWithSteps.jsx; src/modules/loans/components/loan-form/loan-approval/LoanApprovalStep.jsx</t>
  </si>
  <si>
    <t>src/modules/loans/components/LoanFormWithSteps.jsx; src/modules/loans/components/LoanStickyHeader.jsx; src/modules/loans/components/loan-form/loan-approval/LoanApprovalStep.jsx; src/modules/loans/components/loan-form/payout/PayoutSection.jsx; src/modules/loans/components/loan-form/post-file/PostFileApprovalDetails.jsx; src/modules/loans/components/loan-form/vehicle-delivery/VehicleDeliveryStep.jsx</t>
  </si>
  <si>
    <t>src/modules/loans/components/LoanFormWithSteps.jsx</t>
  </si>
  <si>
    <t>src/modules/loans/components/LoanFormWithSteps.jsx; src/modules/loans/components/loan-form/loan-approval/LoanApprovalStep.jsx; src/modules/loans/components/loan-form/payout/PayoutSection.jsx</t>
  </si>
  <si>
    <t>src/modules/loans/components/LoanFormWithSteps.jsx; src/modules/loans/components/loan-form/loan-approval/LoanApprovalStep.jsx; src/modules/loans/components/loan-form/post-file/PostFileApprovalDetails.jsx</t>
  </si>
  <si>
    <t>src/modules/loans/components/LoanFormWithSteps.jsx; src/modules/loans/components/LoanStickyHeader.jsx; src/modules/loans/components/loan-form/loan-approval/LoanApprovalStep.jsx; src/modules/loans/components/loan-form/post-file/PostFileApprovalDetails.jsx</t>
  </si>
  <si>
    <t>src/modules/loans/components/LoanFormWithSteps.jsx; src/modules/loans/components/loan-form/loan-approval/LoanApprovalStep.jsx; src/modules/loans/components/loan-form/payout/PayoutSection.jsx; src/modules/loans/components/loan-form/post-file/PostFileApprovalDetails.jsx</t>
  </si>
  <si>
    <t>src/modules/loans/components/LoanFormWithSteps.jsx; src/modules/loans/components/LoanStickyHeader.jsx; src/modules/loans/components/loan-form/loan-approval/LoanApprovalStep.jsx; src/modules/loans/components/loan-form/payout/PayoutSection.jsx; src/modules/loans/components/loan-form/post-file/PostFileApprovalDetails.jsx</t>
  </si>
  <si>
    <t>src/modules/loans/components/loan-form/loan-approval/LoanApprovalStep.jsx</t>
  </si>
  <si>
    <t>src/modules/loans/components/LoanFormWithSteps.jsx; src/modules/loans/components/loan-form/post-file/PostFileDispatchAndRecords.jsx; src/modules/loans/components/loan-form/pre-file/IncomeBankingDetailsPreFile.jsx</t>
  </si>
  <si>
    <t>src/modules/loans/components/loan-form/payout/BillPrintingModal.jsx</t>
  </si>
  <si>
    <t>src/modules/loans/components/loan-form/payout/PayoutReceivablesDashboard.jsx</t>
  </si>
  <si>
    <t>src/modules/loans/components/loan-form/pre-file/OccupationalDetailsPreFile.jsx</t>
  </si>
  <si>
    <t>/Users/gauravgrover/cdb-frontend/src/modules/loans/components/loan-form/post-file/PostFileInstrumentDetails.jsx</t>
  </si>
  <si>
    <t>src/modules/loans/components/LoanStickyHeader.jsx; src/modules/loans/components/loan-form/pre-file/PersonalDetailsPreFile.jsx</t>
  </si>
  <si>
    <t>src/modules/loans/components/loan-form/pre-file/CoApplicantSection.jsx</t>
  </si>
  <si>
    <t>src/modules/loans/components/loan-form/post-file/DocumentsList.jsx</t>
  </si>
  <si>
    <t>/Users/gauravgrover/cdb-frontend/src/modules/loans/components/loan-form/pre-file/PersonalDetailsPreFile.jsx</t>
  </si>
  <si>
    <t>src/modules/loans/components/LoanFormWithSteps.jsx; src/modules/loans/components/LoanStickyHeader.jsx</t>
  </si>
  <si>
    <t>src/modules/loans/components/LoanFormWithSteps.jsx; src/modules/loans/components/loan-form/post-file/PostFileDocumentManagement.jsx; src/modules/loans/components/loan-form/pre-file/IncomeBankingDetailsPreFile.jsx; src/modules/loans/components/loan-form/pre-file/PreFileStep.jsx</t>
  </si>
  <si>
    <t>/Users/gauravgrover/cdb-frontend/src/modules/loans/components/loan-form/pre-file/IncomeBankingDetailsPreFile.jsx</t>
  </si>
  <si>
    <t>src/modules/loans/components/EMICustomerDetails.jsx; src/modules/loans/components/LoanFormWithSteps.jsx; src/modules/loans/components/LoanStickyHeader.jsx; src/modules/loans/components/loan-form/customer-profile/PersonalDetailsSimplified.jsx; src/modules/loans/components/loan-form/pre-file/PersonalDetailsPreFile.jsx</t>
  </si>
  <si>
    <t>src/modules/loans/components/loan-form/post-file/PostFileDocumentManagement.jsx</t>
  </si>
  <si>
    <t>src/modules/loans/components/loan-form/customer-profile/LeadDetails.jsx; src/modules/loans/components/loan-form/post-file/PostFileVehicleVerification.jsx; src/modules/loans/components/loan-form/pre-file/Section7RecordDetails.jsx; src/modules/loans/components/loan-form/pre-file/VehiclePricingLoanDetails.jsx</t>
  </si>
  <si>
    <t>src/modules/loans/components/VehiclePricingPopup.jsx; src/modules/loans/components/loan-form/post-file/PostFileVehicleVerification.jsx; src/modules/loans/components/loan-form/pre-file/VehiclePricingLoanDetails.jsx</t>
  </si>
  <si>
    <t>src/modules/loans/components/loan-form/customer-profile/LeadDetails.jsx; src/modules/loans/components/loan-form/pre-file/Section7RecordDetails.jsx</t>
  </si>
  <si>
    <t>src/modules/loans/components/loan-form/vehicle-delivery/VehicleDeliveryStep.jsx</t>
  </si>
  <si>
    <t>src/modules/loans/components/LoanFormWithSteps.jsx; src/modules/loans/components/loan-form/post-file/DocumentsList.jsx</t>
  </si>
  <si>
    <t>src/modules/loans/components/loan-form/customer-profile/PersonalDetailsSimplified.jsx; src/modules/loans/components/loan-form/pre-file/PersonalDetailsPreFile.jsx</t>
  </si>
  <si>
    <t>src/modules/loans/components/loan-form/pre-file/AuthorisedSignatorySection.jsx; src/modules/loans/components/loan-form/pre-file/OccupationalDetailsPreFile.jsx</t>
  </si>
  <si>
    <t>src/modules/loans/components/loan-form/disbursement/DisbursementStep.jsx</t>
  </si>
  <si>
    <t>src/modules/loans/components/LoanStickyHeader.jsx; src/modules/loans/components/loan-form/post-file/PostFileDispatchAndRecords.jsx; src/modules/loans/components/loan-form/post-file/PrincipalOutstanding.jsx</t>
  </si>
  <si>
    <t>src/modules/loans/components/loan-form/payout/PayoutSection.jsx</t>
  </si>
  <si>
    <t>src/modules/loans/components/loan-form/post-file/PostFileDispatchAndRecords.jsx</t>
  </si>
  <si>
    <t>src/modules/loans/components/loan-form/pre-file/Section7RecordDetails.jsx</t>
  </si>
  <si>
    <t>/Users/gauravgrover/cdb-frontend/src/modules/loans/components/LoanFormWithSteps.jsx</t>
  </si>
  <si>
    <t>src/modules/loans/components/loan-form/post-file/PostFileInstrumentDetails.jsx</t>
  </si>
  <si>
    <t>src/modules/loans/components/EMICustomerDetails.jsx; src/modules/loans/components/LoanStickyHeader.jsx; src/modules/loans/components/loan-form/customer-profile/PersonalDetailsSimplified.jsx; src/modules/loans/components/loan-form/pre-file/PersonalDetailsPreFile.jsx</t>
  </si>
  <si>
    <t>src/modules/loans/components/LoanStickyHeader.jsx; src/modules/loans/components/loan-form/loan-approval/LoanApprovalStep.jsx; src/modules/loans/components/loan-form/post-file/PostFileVehicleVerification.jsx; src/modules/loans/components/loan-form/pre-file/VehiclePricingLoanDetails.jsx</t>
  </si>
  <si>
    <t>src/modules/loans/components/LoanStickyHeader.jsx; src/modules/loans/components/loan-form/customer-profile/FinanceDetailsForm.jsx</t>
  </si>
  <si>
    <t>/Users/gauravgrover/cdb-frontend/src/modules/loans/components/loan-form/customer-profile/PersonalDetailsSimplified.jsx</t>
  </si>
  <si>
    <t>src/modules/loans/components/loan-form/pre-file/GuarantorSection.jsx</t>
  </si>
  <si>
    <t>src/modules/loans/components/loan-form/pre-file/CoApplicantSection.jsx; src/modules/loans/components/loan-form/pre-file/PersonalDetailsPreFile.jsx</t>
  </si>
  <si>
    <t>src/modules/loans/components/loan-form/pre-file/GuarantorSection.jsx; src/modules/loans/components/loan-form/pre-file/PersonalDetailsPreFile.jsx</t>
  </si>
  <si>
    <t>/Users/gauravgrover/cdb-frontend/src/modules/loans/components/loan-form/vehicle-delivery/VehicleDeliveryStep.jsx</t>
  </si>
  <si>
    <t>src/modules/loans/components/LoanStickyHeader.jsx; src/modules/loans/components/loan-form/vehicle-delivery/VehicleDeliveryStep.jsx</t>
  </si>
  <si>
    <t>src/modules/loans/components/LoanFormWithSteps.jsx; src/modules/loans/components/loan-form/customer-profile/FinanceDetailsForm.jsx; src/modules/loans/components/loan-form/customer-profile/VehicleDetailsForm.jsx; src/modules/loans/components/loan-form/pre-file/PreFileStep.jsx; src/modules/loans/components/loan-form/vehicle-delivery/VehicleDeliveryStep.jsx</t>
  </si>
  <si>
    <t>src/modules/loans/components/loan-form/customer-profile/LeadDetails.jsx; src/modules/loans/components/loan-form/pre-file/OccupationalDetailsPreFile.jsx</t>
  </si>
  <si>
    <t>src/modules/loans/components/loan-form/pre-file/BulkLoanCreationSection.jsx</t>
  </si>
  <si>
    <t>src/modules/loans/components/loan-form/customer-profile/LeadDetails.jsx</t>
  </si>
  <si>
    <t>src/modules/loans/components/LoanFormWithSteps.jsx; src/modules/loans/components/NotesModal.jsx</t>
  </si>
  <si>
    <t>/Users/gauravgrover/cdb-frontend/src/modules/loans/components/loan-form/post-file/PostFileDispatchAndRecords.jsx; /Users/gauravgrover/cdb-frontend/src/modules/loans/components/LoanFormWithSteps.jsx</t>
  </si>
  <si>
    <t>src/modules/loans/components/LoanFormWithSteps.jsx; src/modules/loans/components/LoanStickyHeader.jsx; src/modules/loans/components/loan-form/post-file/PostFileDispatchAndRecords.jsx</t>
  </si>
  <si>
    <t>src/modules/loans/components/loan-form/customer-profile/FinanceDetailsForm.jsx</t>
  </si>
  <si>
    <t>/Users/gauravgrover/cdb-frontend/src/modules/loans/components/loan-form/payout/PayoutPayablesDashboard.jsx</t>
  </si>
  <si>
    <t>src/modules/loans/components/loan-form/payout/PayoutSection.jsx; src/modules/loans/components/loan-form/pre-file/Section7RecordDetails.jsx</t>
  </si>
  <si>
    <t>src/modules/loans/components/LoanFormWithSteps.jsx; src/modules/loans/components/loan-form/disbursement/DisbursementStep.jsx; src/modules/loans/components/loan-form/loan-approval/LoanApprovalStep.jsx; src/modules/loans/components/loan-form/payout/PayoutSection.jsx</t>
  </si>
  <si>
    <t>src/modules/loans/components/loan-form/post-file/PostFileApprovalDetails.jsx</t>
  </si>
  <si>
    <t>src/modules/loans/components/LoanFormWithSteps.jsx; src/modules/loans/components/loan-form/post-file/PostFileApprovalDetails.jsx</t>
  </si>
  <si>
    <t>src/modules/loans/components/loan-form/post-file/EMICalculator.jsx; src/modules/loans/components/loan-form/post-file/PostFileApprovalDetails.jsx</t>
  </si>
  <si>
    <t>src/modules/loans/components/LoanFormWithSteps.jsx; src/modules/loans/components/loan-form/post-file/DocumentsList.jsx; src/modules/loans/components/loan-form/post-file/PostFileDocumentManagement.jsx</t>
  </si>
  <si>
    <t>src/modules/loans/components/LoanFormWithSteps.jsx; src/modules/loans/components/LoanStickyHeader.jsx; src/modules/loans/components/loan-form/post-file/EMICalculator.jsx; src/modules/loans/components/loan-form/post-file/PostFileApprovalDetails.jsx</t>
  </si>
  <si>
    <t>src/modules/loans/components/LoanFormWithSteps.jsx; src/modules/loans/components/loan-form/post-file/PostFileApprovalDetails.jsx; src/modules/loans/components/loan-form/post-file/PrincipalOutstanding.jsx; src/modules/loans/components/loan-form/post-file/RepaymentSchedule.jsx</t>
  </si>
  <si>
    <t>src/modules/loans/components/LoanFormWithSteps.jsx; src/modules/loans/components/loan-form/post-file/EMICalculator.jsx; src/modules/loans/components/loan-form/post-file/PostFileApprovalDetails.jsx; src/modules/loans/components/loan-form/post-file/PrincipalOutstanding.jsx; src/modules/loans/components/loan-form/post-file/RepaymentSchedule.jsx</t>
  </si>
  <si>
    <t>src/modules/loans/components/LoanFormWithSteps.jsx; src/modules/loans/components/loan-form/post-file/PostFileApprovalDetails.jsx; src/modules/loans/components/loan-form/post-file/PrincipalOutstanding.jsx</t>
  </si>
  <si>
    <t>src/modules/loans/components/loan-form/post-file/PostFileVehicleVerification.jsx</t>
  </si>
  <si>
    <t>src/modules/loans/components/LoanFormWithSteps.jsx; src/modules/loans/components/LoanStickyHeader.jsx; src/modules/loans/components/loan-form/post-file/EMICalculator.jsx; src/modules/loans/components/loan-form/post-file/PostFileApprovalDetails.jsx; src/modules/loans/components/loan-form/post-file/PrincipalOutstanding.jsx; src/modules/loans/components/loan-form/post-file/RepaymentSchedule.jsx</t>
  </si>
  <si>
    <t>src/modules/loans/components/loan-form/post-file/EMICalculator.jsx; src/modules/loans/components/loan-form/post-file/PostFileApprovalDetails.jsx; src/modules/loans/components/loan-form/post-file/RepaymentSchedule.jsx</t>
  </si>
  <si>
    <t>src/modules/loans/components/loan-form/customer-profile/LeadDetails.jsx; src/modules/loans/components/loan-form/payout/PayoutSection.jsx; src/modules/loans/components/loan-form/pre-file/Section7RecordDetails.jsx</t>
  </si>
  <si>
    <t>/Users/gauravgrover/cdb-frontend/src/modules/loans/components/loan-form/pre-file/VehiclePricingLoanDetails.jsx</t>
  </si>
  <si>
    <t>/Users/gauravgrover/cdb-frontend/src/modules/loans/components/loan-form/pre-file/VehiclePricingLoanDetails.jsx; /Users/gauravgrover/cdb-frontend/src/modules/loans/components/loan-form/post-file/PostFileVehicleVerification.jsx; /Users/gauravgrover/cdb-frontend/src/modules/loans/components/LoanFormWithSteps.jsx</t>
  </si>
  <si>
    <t>src/modules/loans/components/loan-form/pre-file/AuthorisedSignatorySection.jsx</t>
  </si>
  <si>
    <t>/Users/gauravgrover/cdb-frontend/src/modules/loans/components/loan-form/pre-file/AuthorisedSignatorySection.jsx</t>
  </si>
  <si>
    <t>src/modules/loans/components/LoanFormWithSteps.jsx; src/modules/loans/components/LoanStickyHeader.jsx; src/modules/loans/components/loan-form/customer-profile/FinanceDetailsForm.jsx; src/modules/loans/components/loan-form/loan-approval/LoanApprovalStep.jsx; src/modules/loans/components/loan-form/pre-file/VehiclePricingLoanDetails.jsx; src/modules/loans/components/loan-form/vehicle-delivery/VehicleDeliveryStep.jsx</t>
  </si>
  <si>
    <t>src/modules/loans/components/LoanFormWithSteps.jsx; src/modules/loans/components/LoanStickyHeader.jsx; src/modules/loans/components/loan-form/customer-profile/VehicleDetailsForm.jsx; src/modules/loans/components/loan-form/loan-approval/LoanApprovalStep.jsx; src/modules/loans/components/loan-form/loan-approval/components/BankStatusCard.jsx; src/modules/loans/components/loan-form/post-file/PostFileVehicleVerification.jsx; src/modules/loans/components/loan-form/pre-file/VehiclePricingLoanDetails.jsx</t>
  </si>
  <si>
    <t>src/modules/loans/components/LoanStickyHeader.jsx; src/modules/loans/components/loan-form/customer-profile/VehicleDetailsForm.jsx; src/modules/loans/components/loan-form/loan-approval/LoanApprovalStep.jsx; src/modules/loans/components/loan-form/loan-approval/components/BankStatusCard.jsx; src/modules/loans/components/loan-form/post-file/PostFileVehicleVerification.jsx; src/modules/loans/components/loan-form/pre-file/VehiclePricingLoanDetails.jsx</t>
  </si>
  <si>
    <t>ACCOUNT_NUMBER_TYPE</t>
  </si>
  <si>
    <t>ADD1</t>
  </si>
  <si>
    <t>ADD2</t>
  </si>
  <si>
    <t>CITY</t>
  </si>
  <si>
    <t>CPV_ACCOUNT_NO</t>
  </si>
  <si>
    <t>DATA_LOCATION_CODE</t>
  </si>
  <si>
    <t>DESIGNATION</t>
  </si>
  <si>
    <t>FAX</t>
  </si>
  <si>
    <t>HP_GROUP</t>
  </si>
  <si>
    <t>ORIGINAL_HP_GROUP</t>
  </si>
  <si>
    <t>PIN</t>
  </si>
  <si>
    <t>CDB_ACCOUNT_NO</t>
  </si>
  <si>
    <t>CLS_REMARKS</t>
  </si>
  <si>
    <t>CLS_STATUS</t>
  </si>
  <si>
    <t>CPV_G_OFF_STATUS</t>
  </si>
  <si>
    <t>CPV_G_RES_STATUS</t>
  </si>
  <si>
    <t>CPV_MONTH_YEAR</t>
  </si>
  <si>
    <t>CPV_OFF_STATUS</t>
  </si>
  <si>
    <t>CPV_RES_STATUS</t>
  </si>
  <si>
    <t>CPV_SEND_AT_TIME</t>
  </si>
  <si>
    <t>CPV_SEND_ON_DATE</t>
  </si>
  <si>
    <t>CREATED_BY_USER</t>
  </si>
  <si>
    <t>CREATED_ON_DATE</t>
  </si>
  <si>
    <t>CREATED_ON_TIME</t>
  </si>
  <si>
    <t>CUST_NAME_FIRST</t>
  </si>
  <si>
    <t>CUST_NAME_LAST</t>
  </si>
  <si>
    <t>CUST_NAME_MIDDLE</t>
  </si>
  <si>
    <t>DATA_STATUS</t>
  </si>
  <si>
    <t>DEALT_BY</t>
  </si>
  <si>
    <t>DRIVING_LICENSE</t>
  </si>
  <si>
    <t>FATHERS_NAME_LAST</t>
  </si>
  <si>
    <t>FATHERS_NAME_MIDDLE</t>
  </si>
  <si>
    <t>GURANTOR_AVAILABLE</t>
  </si>
  <si>
    <t>HEAD_NAME</t>
  </si>
  <si>
    <t>HUSBAND_NAME</t>
  </si>
  <si>
    <t>ICICI_ENTRY_NUMBER</t>
  </si>
  <si>
    <t>IS_REQ_G_OFF_VERIFICATION</t>
  </si>
  <si>
    <t>IS_REQ_G_RES_VERIFICATION</t>
  </si>
  <si>
    <t>IS_REQ_OFF_VERIFICATION</t>
  </si>
  <si>
    <t>IS_REQ_RES_VERIFICATION</t>
  </si>
  <si>
    <t>LAST_EDIT_BY_USER</t>
  </si>
  <si>
    <t>LAST_EDIT_ON_DATE</t>
  </si>
  <si>
    <t>LAST_EDIT_ON_TIME</t>
  </si>
  <si>
    <t>MARKETING_BY</t>
  </si>
  <si>
    <t>NCCB</t>
  </si>
  <si>
    <t>OFF_ADD2</t>
  </si>
  <si>
    <t>OFF_FAX</t>
  </si>
  <si>
    <t>OFF_NAME</t>
  </si>
  <si>
    <t>OFF_PHONE2</t>
  </si>
  <si>
    <t>OFF_PHONE3</t>
  </si>
  <si>
    <t>PAGER</t>
  </si>
  <si>
    <t>PASSPORT_NUMBER</t>
  </si>
  <si>
    <t>PREVIOUS_RELATION_WITH_US</t>
  </si>
  <si>
    <t>REF1_ADD</t>
  </si>
  <si>
    <t>REF1_PHONE</t>
  </si>
  <si>
    <t>REF1_RELATION</t>
  </si>
  <si>
    <t>REF2_ADD</t>
  </si>
  <si>
    <t>REF2_PHONE</t>
  </si>
  <si>
    <t>REF2_RELATION</t>
  </si>
  <si>
    <t>RELATIONSHIP</t>
  </si>
  <si>
    <t>REMARKS_G_OFF_VERIFICATION</t>
  </si>
  <si>
    <t>REMARKS_G_RES_VERIFICATION</t>
  </si>
  <si>
    <t>REMARKS_OFF_VERIFICATION</t>
  </si>
  <si>
    <t>REMARKS_RES_VERIFICATION</t>
  </si>
  <si>
    <t>RESI_ADD2</t>
  </si>
  <si>
    <t>RESI_PHONE3</t>
  </si>
  <si>
    <t>VEHICLE_HAVE</t>
  </si>
  <si>
    <t>VEHICLE_OWNERSHIP</t>
  </si>
  <si>
    <t>BANK_FAX</t>
  </si>
  <si>
    <t>BANK_PHONE</t>
  </si>
  <si>
    <t>OD_LIMIT</t>
  </si>
  <si>
    <t>G_ICICI_ENTRY_NUMBER</t>
  </si>
  <si>
    <t>YEARS_AT_PROFESSION</t>
  </si>
  <si>
    <t>ACCOUNT_STATUS</t>
  </si>
  <si>
    <t>ADDRESS_PROOF_FOR_REGISTRATION</t>
  </si>
  <si>
    <t>AGEING_FOR_BANK</t>
  </si>
  <si>
    <t>AGEING_FOR_US</t>
  </si>
  <si>
    <t>APPLIED_EMI</t>
  </si>
  <si>
    <t>APPLIED_EMI_DUE_DATE</t>
  </si>
  <si>
    <t>APPLIED_ROI</t>
  </si>
  <si>
    <t>BANK_FILE_NUMBER</t>
  </si>
  <si>
    <t>BORROWER_CATEGORY</t>
  </si>
  <si>
    <t>BORROWER_RELATION</t>
  </si>
  <si>
    <t>CASE_FOR_YEAR_MONTH</t>
  </si>
  <si>
    <t>CASE_TYPE_CODE</t>
  </si>
  <si>
    <t>CHANNEL_CODE</t>
  </si>
  <si>
    <t>CLOSED_BY</t>
  </si>
  <si>
    <t>CLOSEDBY_CODE</t>
  </si>
  <si>
    <t>CPV_ACCOUNT_NUMBER_TYPE</t>
  </si>
  <si>
    <t>CUST_CODE</t>
  </si>
  <si>
    <t>DATE_OF_APPROVAL_STATUS_TAKEN</t>
  </si>
  <si>
    <t>DATE_OF_DESPATCH_FOR_APPROVAL</t>
  </si>
  <si>
    <t>DATE_WHEN_FILE_IN_BOOKING</t>
  </si>
  <si>
    <t>DATE_WHEN_FILE_MOVED_TO_BANK</t>
  </si>
  <si>
    <t>DATE_WHEN_FILE_REACHED_AT_CPA</t>
  </si>
  <si>
    <t>DATE_WHEN_FILE_REJECT_WITHDRWN</t>
  </si>
  <si>
    <t>DEALER_CODE</t>
  </si>
  <si>
    <t>DEALER_SUBVENTION</t>
  </si>
  <si>
    <t>DEALTBY_CODE</t>
  </si>
  <si>
    <t>DELIQUENCY_IN_BUCKET</t>
  </si>
  <si>
    <t>DELIQUENCY_STATUS_GIVE_ON_DATE</t>
  </si>
  <si>
    <t>DELIQUENTY_STATUS_GIVE_BY</t>
  </si>
  <si>
    <t>DELIVERED_MANUFACTURER_CODE</t>
  </si>
  <si>
    <t>DELIVERED_MFG_YEAR</t>
  </si>
  <si>
    <t>DELIVERED_MODEL_CODE</t>
  </si>
  <si>
    <t>DELIVERED_VARIANT_CODE</t>
  </si>
  <si>
    <t>FILE_AT</t>
  </si>
  <si>
    <t>FILE_DESPATCH_BY</t>
  </si>
  <si>
    <t>FILE_POSITION</t>
  </si>
  <si>
    <t>GUARANTOR_BASE_LENDING</t>
  </si>
  <si>
    <t>GUARANTOR_RELATION</t>
  </si>
  <si>
    <t>HAVING_RELATION_WITH_BANK</t>
  </si>
  <si>
    <t>INSURANCE</t>
  </si>
  <si>
    <t>INSURANCE_BY</t>
  </si>
  <si>
    <t>INSURANCE_COMPANY</t>
  </si>
  <si>
    <t>INSURANCE_COVERNOTE_NUMBER</t>
  </si>
  <si>
    <t>INV_STATUS</t>
  </si>
  <si>
    <t>IS_ANY_PPII</t>
  </si>
  <si>
    <t>IS_ANY_SUBVENTION</t>
  </si>
  <si>
    <t>IS_APPROVAL_STATUS_RECEIVED</t>
  </si>
  <si>
    <t>IS_DELIQUENT_CUSTOMER</t>
  </si>
  <si>
    <t>IS_FILE_IN_HOLD</t>
  </si>
  <si>
    <t>IS_IT_NEW_CUSTOMER</t>
  </si>
  <si>
    <t>IS_IT_PRECLOSE</t>
  </si>
  <si>
    <t>IS_LOAN_RECEIVED</t>
  </si>
  <si>
    <t>IS_PAYOUT_APPLICABLE</t>
  </si>
  <si>
    <t>IS_PAYOUT_RATE_TO_BE_CALCULATE</t>
  </si>
  <si>
    <t>IS_PPII_APPLICABLE</t>
  </si>
  <si>
    <t>IS_PPII_RECEIVED</t>
  </si>
  <si>
    <t>IS_PRE_APPROVAL_REQUIRED</t>
  </si>
  <si>
    <t>IS_RC_DESPATCH_TO_BANK</t>
  </si>
  <si>
    <t>IS_RC_LIEN_MARKED</t>
  </si>
  <si>
    <t>IS_SUB_VENTION_APPLICABLE</t>
  </si>
  <si>
    <t>IS_SUB_VENTION_RECEIVED</t>
  </si>
  <si>
    <t>IS_VEHICLE_DELIVERED</t>
  </si>
  <si>
    <t>LENDING_BASE</t>
  </si>
  <si>
    <t>LIEN_MARK</t>
  </si>
  <si>
    <t>LINK_CODE</t>
  </si>
  <si>
    <t>LINK_ID</t>
  </si>
  <si>
    <t>LOAN_MATURITY_DATE</t>
  </si>
  <si>
    <t>LOAN_NUMBER_MIDDLE</t>
  </si>
  <si>
    <t>LOAN_NUMBER_SUFFIX</t>
  </si>
  <si>
    <t>LOAN_PAYMENT_NUMBER</t>
  </si>
  <si>
    <t>LOAN_RECEIVED_AMOUNT</t>
  </si>
  <si>
    <t>MANUFACTURER_CODE</t>
  </si>
  <si>
    <t>MFG_YEAR</t>
  </si>
  <si>
    <t>MODEL_CODE</t>
  </si>
  <si>
    <t>ORIGIN_CODE</t>
  </si>
  <si>
    <t>OVERALL_STATUS</t>
  </si>
  <si>
    <t>PAYMENT_FAVOURING_AT_BOOKING</t>
  </si>
  <si>
    <t>PERSON_WHO_DELIVERED_THE_CAR</t>
  </si>
  <si>
    <t>POST_DOCS_PREPARED_BY</t>
  </si>
  <si>
    <t>PPII_AMOUNT</t>
  </si>
  <si>
    <t>PPII_AMOUNT_RECEIVED</t>
  </si>
  <si>
    <t>PPII_PAYMENT_NUMBER</t>
  </si>
  <si>
    <t>PRE_APPROVAL_REMARKS</t>
  </si>
  <si>
    <t>PRE_APPROVAL_STATUS</t>
  </si>
  <si>
    <t>PRECLOSE_AMOUNT</t>
  </si>
  <si>
    <t>PRECLOSE_ON_DATE</t>
  </si>
  <si>
    <t>PRECLOSE_REMARKS</t>
  </si>
  <si>
    <t>PRECLOSE_THROUGH</t>
  </si>
  <si>
    <t>RC_STATUS</t>
  </si>
  <si>
    <t>RC_STORAGE_NUMBER</t>
  </si>
  <si>
    <t>REMARKS</t>
  </si>
  <si>
    <t>ROAD_TAX</t>
  </si>
  <si>
    <t>ROI_TYPE</t>
  </si>
  <si>
    <t>SHOWROOM_CODE</t>
  </si>
  <si>
    <t>SOURCE_REFERENCE</t>
  </si>
  <si>
    <t>SPECIAL_APPROVAL_NUMBER</t>
  </si>
  <si>
    <t>STATUS</t>
  </si>
  <si>
    <t>SUB_VENTION_PAYMENT_NUMBER</t>
  </si>
  <si>
    <t>SUB_VENTION_RECEIVED_AMOUNT</t>
  </si>
  <si>
    <t>SUBVENTION_AMOUNT</t>
  </si>
  <si>
    <t>SUBVENTION_TO_CUSTOMER</t>
  </si>
  <si>
    <t>TEMP_CUST_CODE</t>
  </si>
  <si>
    <t>TEMP_MODEL</t>
  </si>
  <si>
    <t>TEMP_VARIANT</t>
  </si>
  <si>
    <t>TEMP_YEAR</t>
  </si>
  <si>
    <t>TIME_OF_APPROVAL_STATUS_TAKEN</t>
  </si>
  <si>
    <t>TIME_OF_DESPATCH_FOR_APPROVAL</t>
  </si>
  <si>
    <t>TIME_WHEN_FILE_DESPATCH</t>
  </si>
  <si>
    <t>TIME_WHEN_FILE_REACHED_AT_CPA</t>
  </si>
  <si>
    <t>VARIANT_CODE</t>
  </si>
  <si>
    <t>VEHICLE_DELIVERED_BY</t>
  </si>
  <si>
    <t>VERIFIED_FILE_DESPATCH_TO_BANK</t>
  </si>
  <si>
    <t>VERIFIED_FILE_RECEIVED</t>
  </si>
  <si>
    <t>DESPATCH_ID</t>
  </si>
  <si>
    <t>DOC_DESP_AS</t>
  </si>
  <si>
    <t>DOCS_COLLECTED_BY</t>
  </si>
  <si>
    <t>DRAWN_ON</t>
  </si>
  <si>
    <t>ENTERED_BY</t>
  </si>
  <si>
    <t>ENTERED_ON_DATE</t>
  </si>
  <si>
    <t>INSTRMNT_AMOUNT</t>
  </si>
  <si>
    <t>INSTRMNT_DATE</t>
  </si>
  <si>
    <t>INSTRMNT_FAVOURING</t>
  </si>
  <si>
    <t>INSTRMNT_NO</t>
  </si>
  <si>
    <t>INSTRMNT_RECPT_ID_NO</t>
  </si>
  <si>
    <t>LAST_UPDATE_ON_DATE</t>
  </si>
  <si>
    <t>LAST_UPDATED_BY_USER</t>
  </si>
  <si>
    <t>MICR_CODE</t>
  </si>
  <si>
    <t>STATUS_BY_USER</t>
  </si>
  <si>
    <t>STATUS_ON_DATE</t>
  </si>
  <si>
    <t>DISPLACEMENT</t>
  </si>
  <si>
    <t>INV_RECEIVED_AS</t>
  </si>
  <si>
    <t>NO_OF_CYLINDERS</t>
  </si>
  <si>
    <t>ON_DATE</t>
  </si>
  <si>
    <t>RC_RECEIVED_AS</t>
  </si>
  <si>
    <t>RECEIVING_NO</t>
  </si>
  <si>
    <t>SEATING_CAPACITY</t>
  </si>
  <si>
    <t>UNLAIDEN_WEIGHT</t>
  </si>
  <si>
    <t>USER_NAME</t>
  </si>
  <si>
    <t>legacy_files</t>
  </si>
  <si>
    <t>How to use this workbook</t>
  </si>
  <si>
    <t>1. Open sheet 'MappingEditor'.</t>
  </si>
  <si>
    <t>2. Columns 'applies_when' and 'flow_notes' explain conditional flow dependencies.</t>
  </si>
  <si>
    <t>3. Each row is one mapping rule. Duplicate rows to add fallbacks for the same new_field.</t>
  </si>
  <si>
    <t>4. Select 'legacy_file' from dropdown first, then 'legacy_field' from dependent dropdown.</t>
  </si>
  <si>
    <t>5. Use fallback_priority: 1 (highest), 2, 3 ...</t>
  </si>
  <si>
    <t>6. Set transform (identity, normalize_yes_no, to_date, to_number, concat, custom).</t>
  </si>
  <si>
    <t>7. Set active = Y/N.</t>
  </si>
  <si>
    <t>8. Important: keep Source vs Dealt By separate (sourceName &lt;- SOURCE-like, dealtBy &lt;- DEALT_BY-like).</t>
  </si>
  <si>
    <t>9. Save workbook and run parser script to generate JSON mapping config.</t>
  </si>
  <si>
    <t>Parser command:</t>
  </si>
  <si>
    <t>python3 scripts/parse_mapping_workbook.py --workbook migration_analysis/loan_field_mapping_workbook.xlsx --out migration_analysis/loan_field_mapping_config.json</t>
  </si>
  <si>
    <t>Auto status:</t>
  </si>
  <si>
    <t>Unmapped sheets recalculate automatically from MappingEditor/FallbackEditor.</t>
  </si>
  <si>
    <t>Case preview:</t>
  </si>
  <si>
    <t>Workbook generated for case: 3000004231</t>
  </si>
  <si>
    <t>source_path</t>
  </si>
  <si>
    <t>value</t>
  </si>
  <si>
    <t>AUTH_SIGNATORY.json.ACCOUNT_NUMBER_TYPE</t>
  </si>
  <si>
    <t>CPV</t>
  </si>
  <si>
    <t>AUTH_SIGNATORY.json.ADD1</t>
  </si>
  <si>
    <t>C-5 1504 CLEO COUNTY NOIDA SECTOR-121</t>
  </si>
  <si>
    <t>AUTH_SIGNATORY.json.ADD2</t>
  </si>
  <si>
    <t>AUTH_SIGNATORY.json.AUTH_AADHAAR_NUMBER</t>
  </si>
  <si>
    <t>951419463882</t>
  </si>
  <si>
    <t>AUTH_SIGNATORY.json.CITY</t>
  </si>
  <si>
    <t>NOIDA</t>
  </si>
  <si>
    <t>AUTH_SIGNATORY.json.CPV_ACCOUNT_NO</t>
  </si>
  <si>
    <t>3419</t>
  </si>
  <si>
    <t>AUTH_SIGNATORY.json.DATA_LOCATION_CODE</t>
  </si>
  <si>
    <t>03</t>
  </si>
  <si>
    <t>AUTH_SIGNATORY.json.DATE_OF_BIRTH</t>
  </si>
  <si>
    <t>1987-09-09T00:00:00</t>
  </si>
  <si>
    <t>AUTH_SIGNATORY.json.DESIGNATION</t>
  </si>
  <si>
    <t>DIRECTOR</t>
  </si>
  <si>
    <t>AUTH_SIGNATORY.json.FAX</t>
  </si>
  <si>
    <t>AUTH_SIGNATORY.json.HP_GROUP</t>
  </si>
  <si>
    <t>01</t>
  </si>
  <si>
    <t>AUTH_SIGNATORY.json.MOBILE</t>
  </si>
  <si>
    <t>AUTH_SIGNATORY.json.NAME</t>
  </si>
  <si>
    <t>GAURAV KHANNA</t>
  </si>
  <si>
    <t>AUTH_SIGNATORY.json.ORIGINAL_HP_GROUP</t>
  </si>
  <si>
    <t>AUTH_SIGNATORY.json.PHONE</t>
  </si>
  <si>
    <t>9811542232</t>
  </si>
  <si>
    <t>AUTH_SIGNATORY.json.PIN</t>
  </si>
  <si>
    <t>201309</t>
  </si>
  <si>
    <t>CPV_DETAIL.json.AADHAAR_NUMBER</t>
  </si>
  <si>
    <t>CPV_DETAIL.json.ACCOUNT_NUMBER_TYPE</t>
  </si>
  <si>
    <t>CPV_DETAIL.json.ANNUAL_INCOME</t>
  </si>
  <si>
    <t>3797080</t>
  </si>
  <si>
    <t>CPV_DETAIL.json.CAR_MODEL</t>
  </si>
  <si>
    <t>S PRESSO LXI CNG</t>
  </si>
  <si>
    <t>CPV_DETAIL.json.CATEGORY</t>
  </si>
  <si>
    <t>PVT LTD</t>
  </si>
  <si>
    <t>CPV_DETAIL.json.CDB_ACCOUNT_NO</t>
  </si>
  <si>
    <t>3000004231</t>
  </si>
  <si>
    <t>CPV_DETAIL.json.CLS_REMARKS</t>
  </si>
  <si>
    <t>CPV_DETAIL.json.CLS_STATUS</t>
  </si>
  <si>
    <t>CPV_DETAIL.json.CPV_ACCOUNT_NO</t>
  </si>
  <si>
    <t>CPV_DETAIL.json.CPV_DATE</t>
  </si>
  <si>
    <t>2025-01-02T00:00:00</t>
  </si>
  <si>
    <t>CPV_DETAIL.json.CPV_G_OFF_STATUS</t>
  </si>
  <si>
    <t>CPV_DETAIL.json.CPV_G_RES_STATUS</t>
  </si>
  <si>
    <t>CPV_DETAIL.json.CPV_MONTH_YEAR</t>
  </si>
  <si>
    <t>012025</t>
  </si>
  <si>
    <t>CPV_DETAIL.json.CPV_OFF_STATUS</t>
  </si>
  <si>
    <t>CPV_DETAIL.json.CPV_RES_STATUS</t>
  </si>
  <si>
    <t>CPV_DETAIL.json.CPV_SEND_AT_TIME</t>
  </si>
  <si>
    <t>CPV_DETAIL.json.CPV_SEND_ON_DATE</t>
  </si>
  <si>
    <t>CPV_DETAIL.json.CREATED_BY_USER</t>
  </si>
  <si>
    <t>CPV_DETAIL.json.CREATED_ON_DATE</t>
  </si>
  <si>
    <t>CPV_DETAIL.json.CREATED_ON_TIME</t>
  </si>
  <si>
    <t>CPV_DETAIL.json.CUST_NAME_FIRST</t>
  </si>
  <si>
    <t>GOURAV</t>
  </si>
  <si>
    <t>CPV_DETAIL.json.CUST_NAME_LAST</t>
  </si>
  <si>
    <t>PVT LTD 2</t>
  </si>
  <si>
    <t>CPV_DETAIL.json.CUST_NAME_MIDDLE</t>
  </si>
  <si>
    <t>LUMINARIES</t>
  </si>
  <si>
    <t>CPV_DETAIL.json.CUSTOMER_NAME</t>
  </si>
  <si>
    <t>GOURAV LUMINARIES PVT LTD 2</t>
  </si>
  <si>
    <t>CPV_DETAIL.json.DATA_LOCATION_CODE</t>
  </si>
  <si>
    <t>CPV_DETAIL.json.DATA_STATUS</t>
  </si>
  <si>
    <t>COMPLETE</t>
  </si>
  <si>
    <t>CPV_DETAIL.json.DATE_OF_BIRTH</t>
  </si>
  <si>
    <t>1995-10-12T00:00:00</t>
  </si>
  <si>
    <t>CPV_DETAIL.json.DEALT_BY</t>
  </si>
  <si>
    <t>DRG</t>
  </si>
  <si>
    <t>CPV_DETAIL.json.DRIVING_LICENSE</t>
  </si>
  <si>
    <t>CPV_DETAIL.json.E_MAIL</t>
  </si>
  <si>
    <t>GAURAV@GOURAVROSHNI.COM</t>
  </si>
  <si>
    <t>CPV_DETAIL.json.EDUCATION</t>
  </si>
  <si>
    <t>NA</t>
  </si>
  <si>
    <t>CPV_DETAIL.json.EMAIL_ADDRESS</t>
  </si>
  <si>
    <t>gaurav@gouravroshni.com</t>
  </si>
  <si>
    <t>CPV_DETAIL.json.FATHERS_NAME_FIRST</t>
  </si>
  <si>
    <t>CPV_DETAIL.json.FATHERS_NAME_LAST</t>
  </si>
  <si>
    <t>CPV_DETAIL.json.FATHERS_NAME_MIDDLE</t>
  </si>
  <si>
    <t>CPV_DETAIL.json.FINANCER</t>
  </si>
  <si>
    <t>HDFC</t>
  </si>
  <si>
    <t>CPV_DETAIL.json.GURANTOR_AVAILABLE</t>
  </si>
  <si>
    <t>N</t>
  </si>
  <si>
    <t>CPV_DETAIL.json.HEAD_NAME</t>
  </si>
  <si>
    <t>M/s.</t>
  </si>
  <si>
    <t>CPV_DETAIL.json.HIRE_TYPE</t>
  </si>
  <si>
    <t>Company</t>
  </si>
  <si>
    <t>CPV_DETAIL.json.HP_GROUP</t>
  </si>
  <si>
    <t>CPV_DETAIL.json.HUSBAND_NAME</t>
  </si>
  <si>
    <t>CPV_DETAIL.json.ICICI_ENTRY_NUMBER</t>
  </si>
  <si>
    <t>BY BANK</t>
  </si>
  <si>
    <t>CPV_DETAIL.json.INDUSTRY_DETAIL</t>
  </si>
  <si>
    <t>TRADING</t>
  </si>
  <si>
    <t>CPV_DETAIL.json.IS_REQ_G_OFF_VERIFICATION</t>
  </si>
  <si>
    <t>0</t>
  </si>
  <si>
    <t>CPV_DETAIL.json.IS_REQ_G_RES_VERIFICATION</t>
  </si>
  <si>
    <t>CPV_DETAIL.json.IS_REQ_OFF_VERIFICATION</t>
  </si>
  <si>
    <t>CPV_DETAIL.json.IS_REQ_RES_VERIFICATION</t>
  </si>
  <si>
    <t>1</t>
  </si>
  <si>
    <t>CPV_DETAIL.json.LAST_EDIT_BY_USER</t>
  </si>
  <si>
    <t>CPV_DETAIL.json.LAST_EDIT_ON_DATE</t>
  </si>
  <si>
    <t>CPV_DETAIL.json.LAST_EDIT_ON_TIME</t>
  </si>
  <si>
    <t>CPV_DETAIL.json.LOAN_EXPECTED</t>
  </si>
  <si>
    <t>525000</t>
  </si>
  <si>
    <t>CPV_DETAIL.json.LOAN_TYPE</t>
  </si>
  <si>
    <t>Auto Loan</t>
  </si>
  <si>
    <t>CPV_DETAIL.json.MARITAL_STATUS</t>
  </si>
  <si>
    <t>CPV_DETAIL.json.MARKETING_BY</t>
  </si>
  <si>
    <t>2021</t>
  </si>
  <si>
    <t>CPV_DETAIL.json.MOBILE</t>
  </si>
  <si>
    <t>CPV_DETAIL.json.MOTHERS_MAIDEN_NAME</t>
  </si>
  <si>
    <t>CPV_DETAIL.json.NCCB</t>
  </si>
  <si>
    <t>CPV_DETAIL.json.NO_OF_DEPENDANTS</t>
  </si>
  <si>
    <t>CPV_DETAIL.json.OFF_ADD1</t>
  </si>
  <si>
    <t>PLOT NO-11/1,2 &amp; 12/1 SITE-IV SAHIBABAD</t>
  </si>
  <si>
    <t>CPV_DETAIL.json.OFF_ADD2</t>
  </si>
  <si>
    <t>INDUSTRIAL AREA</t>
  </si>
  <si>
    <t>CPV_DETAIL.json.OFF_CITY</t>
  </si>
  <si>
    <t>GHAZIABAD</t>
  </si>
  <si>
    <t>CPV_DETAIL.json.OFF_FAX</t>
  </si>
  <si>
    <t>CPV_DETAIL.json.OFF_NAME</t>
  </si>
  <si>
    <t>GOURAV LUMINARIES PVT LTD</t>
  </si>
  <si>
    <t>CPV_DETAIL.json.OFF_PHONE1</t>
  </si>
  <si>
    <t>CPV_DETAIL.json.OFF_PHONE2</t>
  </si>
  <si>
    <t>CPV_DETAIL.json.OFF_PHONE3</t>
  </si>
  <si>
    <t>CPV_DETAIL.json.OFF_PIN</t>
  </si>
  <si>
    <t>201010</t>
  </si>
  <si>
    <t>CPV_DETAIL.json.ORGANISATION_TYPE</t>
  </si>
  <si>
    <t>ELECTRONIC</t>
  </si>
  <si>
    <t>CPV_DETAIL.json.ORIGINAL_HP_GROUP</t>
  </si>
  <si>
    <t>CPV_DETAIL.json.PAGER</t>
  </si>
  <si>
    <t>CPV_DETAIL.json.PAN_NUMBER</t>
  </si>
  <si>
    <t>AAACG3334L</t>
  </si>
  <si>
    <t>CPV_DETAIL.json.PASSPORT_NUMBER</t>
  </si>
  <si>
    <t>CPV_DETAIL.json.PERMANENT_ADDRESS</t>
  </si>
  <si>
    <t>C-5 1504 CLEO COUNTY NOIDA SECTOR-121  NOIDA 201309</t>
  </si>
  <si>
    <t>CPV_DETAIL.json.PREVIOUS_RELATION_WITH_US</t>
  </si>
  <si>
    <t>NO</t>
  </si>
  <si>
    <t>CPV_DETAIL.json.PROFESSION_TYPE</t>
  </si>
  <si>
    <t>Self-Employed</t>
  </si>
  <si>
    <t>CPV_DETAIL.json.PURPOSE_OF_LOAN</t>
  </si>
  <si>
    <t>Business</t>
  </si>
  <si>
    <t>CPV_DETAIL.json.REF1_ADD</t>
  </si>
  <si>
    <t>12-D BLOCK PREET VIHAR DELHI 110092</t>
  </si>
  <si>
    <t>CPV_DETAIL.json.REF1_NAME</t>
  </si>
  <si>
    <t>ANIL SETHI</t>
  </si>
  <si>
    <t>CPV_DETAIL.json.REF1_PHONE</t>
  </si>
  <si>
    <t>9811024536</t>
  </si>
  <si>
    <t>CPV_DETAIL.json.REF1_RELATION</t>
  </si>
  <si>
    <t>FRIEND</t>
  </si>
  <si>
    <t>CPV_DETAIL.json.REF2_ADD</t>
  </si>
  <si>
    <t>B-209 S/F SURYA NAGAR GHAZIABAD 201010</t>
  </si>
  <si>
    <t>CPV_DETAIL.json.REF2_NAME</t>
  </si>
  <si>
    <t>SANJAY NAGPAL</t>
  </si>
  <si>
    <t>CPV_DETAIL.json.REF2_PHONE</t>
  </si>
  <si>
    <t>9811161499</t>
  </si>
  <si>
    <t>CPV_DETAIL.json.REF2_RELATION</t>
  </si>
  <si>
    <t>CPV_DETAIL.json.RELATIONSHIP</t>
  </si>
  <si>
    <t>CPV_DETAIL.json.REMARKS_G_OFF_VERIFICATION</t>
  </si>
  <si>
    <t>CPV_DETAIL.json.REMARKS_G_RES_VERIFICATION</t>
  </si>
  <si>
    <t>CPV_DETAIL.json.REMARKS_OFF_VERIFICATION</t>
  </si>
  <si>
    <t>CPV_DETAIL.json.REMARKS_RES_VERIFICATION</t>
  </si>
  <si>
    <t>CPV_DETAIL.json.RESI_ADD1</t>
  </si>
  <si>
    <t>CPV_DETAIL.json.RESI_ADD2</t>
  </si>
  <si>
    <t>CPV_DETAIL.json.RESI_CITY</t>
  </si>
  <si>
    <t>CPV_DETAIL.json.RESI_PHONE1</t>
  </si>
  <si>
    <t>CPV_DETAIL.json.RESI_PHONE2</t>
  </si>
  <si>
    <t>CPV_DETAIL.json.RESI_PHONE3</t>
  </si>
  <si>
    <t>CPV_DETAIL.json.RESI_PIN</t>
  </si>
  <si>
    <t>CPV_DETAIL.json.RESIDENCE_TYPE</t>
  </si>
  <si>
    <t>Your own</t>
  </si>
  <si>
    <t>CPV_DETAIL.json.SEX</t>
  </si>
  <si>
    <t>CPV_DETAIL.json.SOURCE_BY</t>
  </si>
  <si>
    <t>CPV_DETAIL.json.TENDOR</t>
  </si>
  <si>
    <t>39</t>
  </si>
  <si>
    <t>CPV_DETAIL.json.VEHICLE_HAVE</t>
  </si>
  <si>
    <t>None</t>
  </si>
  <si>
    <t>CPV_DETAIL.json.VEHICLE_OWNERSHIP</t>
  </si>
  <si>
    <t>CPV_DETAIL.json.YEAR_AT_PROFESSION</t>
  </si>
  <si>
    <t>20</t>
  </si>
  <si>
    <t>CPV_DETAIL.json.YEARS_AT_RESIDENCE</t>
  </si>
  <si>
    <t>3</t>
  </si>
  <si>
    <t>CUSTOMER_BANK.json.ACCOUNT_NUMBER_TYPE</t>
  </si>
  <si>
    <t>CUSTOMER_BANK.json.BANK_ADDRESS</t>
  </si>
  <si>
    <t>CHANDER NAGAR</t>
  </si>
  <si>
    <t>CUSTOMER_BANK.json.BANK_FAX</t>
  </si>
  <si>
    <t>CUSTOMER_BANK.json.BANK_NAME</t>
  </si>
  <si>
    <t>HDFC BANK LTD</t>
  </si>
  <si>
    <t>CUSTOMER_BANK.json.BANK_PHONE</t>
  </si>
  <si>
    <t>CUSTOMER_BANK.json.CA_ACCOUNT_NO</t>
  </si>
  <si>
    <t>50200052431992</t>
  </si>
  <si>
    <t>CUSTOMER_BANK.json.CPV_ACCOUNT_NO</t>
  </si>
  <si>
    <t>CUSTOMER_BANK.json.DATA_LOCATION_CODE</t>
  </si>
  <si>
    <t>CUSTOMER_BANK.json.HP_GROUP</t>
  </si>
  <si>
    <t>CUSTOMER_BANK.json.OD_LIMIT</t>
  </si>
  <si>
    <t>CUSTOMER_BANK.json.ORIGINAL_HP_GROUP</t>
  </si>
  <si>
    <t>CUSTOMER_BANK.json.SB_ACCOUNT_NO</t>
  </si>
  <si>
    <t>RC_CUSTOMER_ACCOUNT.json.ACCOUNT_STATUS</t>
  </si>
  <si>
    <t>RC_CUSTOMER_ACCOUNT.json.ADDRESS_FOR_REGISTER</t>
  </si>
  <si>
    <t>SAME AS OFFICE</t>
  </si>
  <si>
    <t>RC_CUSTOMER_ACCOUNT.json.ADDRESS_PROOF_FOR_REGISTRATION</t>
  </si>
  <si>
    <t>GST</t>
  </si>
  <si>
    <t>RC_CUSTOMER_ACCOUNT.json.AGEING_FOR_BANK</t>
  </si>
  <si>
    <t>RC_CUSTOMER_ACCOUNT.json.AGEING_FOR_US</t>
  </si>
  <si>
    <t>RC_CUSTOMER_ACCOUNT.json.APPLIED_EMI</t>
  </si>
  <si>
    <t>15736</t>
  </si>
  <si>
    <t>RC_CUSTOMER_ACCOUNT.json.APPLIED_EMI_DUE_DATE</t>
  </si>
  <si>
    <t>2025-02-07T00:00:00</t>
  </si>
  <si>
    <t>RC_CUSTOMER_ACCOUNT.json.APPLIED_LOAN_AMOUNT</t>
  </si>
  <si>
    <t>RC_CUSTOMER_ACCOUNT.json.APPLIED_ROI</t>
  </si>
  <si>
    <t>9.65</t>
  </si>
  <si>
    <t>RC_CUSTOMER_ACCOUNT.json.APPLIED_TENOR</t>
  </si>
  <si>
    <t>RC_CUSTOMER_ACCOUNT.json.BANK_FILE_NUMBER</t>
  </si>
  <si>
    <t>RC_CUSTOMER_ACCOUNT.json.BORROWER_CATEGORY</t>
  </si>
  <si>
    <t>RC_CUSTOMER_ACCOUNT.json.BORROWER_RELATION</t>
  </si>
  <si>
    <t>RC_CUSTOMER_ACCOUNT.json.CASE_FOR_YEAR_MONTH</t>
  </si>
  <si>
    <t>202501</t>
  </si>
  <si>
    <t>RC_CUSTOMER_ACCOUNT.json.CASE_ORIGIN</t>
  </si>
  <si>
    <t>RC_CUSTOMER_ACCOUNT.json.CASE_TYPE</t>
  </si>
  <si>
    <t>New Car</t>
  </si>
  <si>
    <t>RC_CUSTOMER_ACCOUNT.json.CASE_TYPE_CODE</t>
  </si>
  <si>
    <t>RC_CUSTOMER_ACCOUNT.json.CHANNEL_CODE</t>
  </si>
  <si>
    <t>RC_CUSTOMER_ACCOUNT.json.CHASIS_NUMBER</t>
  </si>
  <si>
    <t>RC_CUSTOMER_ACCOUNT.json.CLOSED_BY</t>
  </si>
  <si>
    <t>MANINDER SINGH</t>
  </si>
  <si>
    <t>RC_CUSTOMER_ACCOUNT.json.CLOSEDBY_CODE</t>
  </si>
  <si>
    <t>RC_CUSTOMER_ACCOUNT.json.CPV_ACCOUNT_NO</t>
  </si>
  <si>
    <t>RC_CUSTOMER_ACCOUNT.json.CPV_ACCOUNT_NUMBER_TYPE</t>
  </si>
  <si>
    <t>RC_CUSTOMER_ACCOUNT.json.CUST_CODE</t>
  </si>
  <si>
    <t>RC_CUSTOMER_ACCOUNT.json.CUST_NAME</t>
  </si>
  <si>
    <t>RC_CUSTOMER_ACCOUNT.json.DATA_LOCATION_CODE</t>
  </si>
  <si>
    <t>RC_CUSTOMER_ACCOUNT.json.DATE_OF_APPROVAL_STATUS_TAKEN</t>
  </si>
  <si>
    <t>RC_CUSTOMER_ACCOUNT.json.DATE_OF_DELIVERY</t>
  </si>
  <si>
    <t>2025-01-06T00:00:00</t>
  </si>
  <si>
    <t>RC_CUSTOMER_ACCOUNT.json.DATE_OF_DESPATCH_FOR_APPROVAL</t>
  </si>
  <si>
    <t>RC_CUSTOMER_ACCOUNT.json.DATE_OF_DISBURSE</t>
  </si>
  <si>
    <t>2025-01-04T00:00:00</t>
  </si>
  <si>
    <t>RC_CUSTOMER_ACCOUNT.json.DATE_OF_FILE_DESPATCH</t>
  </si>
  <si>
    <t>RC_CUSTOMER_ACCOUNT.json.DATE_WHEN_FILE_DESPATCH</t>
  </si>
  <si>
    <t>RC_CUSTOMER_ACCOUNT.json.DATE_WHEN_FILE_IN_BOOKING</t>
  </si>
  <si>
    <t>RC_CUSTOMER_ACCOUNT.json.DATE_WHEN_FILE_MOVED_TO_BANK</t>
  </si>
  <si>
    <t>RC_CUSTOMER_ACCOUNT.json.DATE_WHEN_FILE_REACHED_AT_CPA</t>
  </si>
  <si>
    <t>RC_CUSTOMER_ACCOUNT.json.DATE_WHEN_FILE_RECEIVED</t>
  </si>
  <si>
    <t>RC_CUSTOMER_ACCOUNT.json.DATE_WHEN_FILE_REJECT_WITHDRWN</t>
  </si>
  <si>
    <t>RC_CUSTOMER_ACCOUNT.json.DEALER_CODE</t>
  </si>
  <si>
    <t>RC_CUSTOMER_ACCOUNT.json.DEALER_SUBVENTION</t>
  </si>
  <si>
    <t>RC_CUSTOMER_ACCOUNT.json.DEALT_BY</t>
  </si>
  <si>
    <t>RC_CUSTOMER_ACCOUNT.json.DEALTBY_CODE</t>
  </si>
  <si>
    <t>RC_CUSTOMER_ACCOUNT.json.DELIQUENCY_IN_BUCKET</t>
  </si>
  <si>
    <t>RC_CUSTOMER_ACCOUNT.json.DELIQUENCY_STATUS_GIVE_ON_DATE</t>
  </si>
  <si>
    <t>RC_CUSTOMER_ACCOUNT.json.DELIQUENTY_STATUS_GIVE_BY</t>
  </si>
  <si>
    <t>RC_CUSTOMER_ACCOUNT.json.DELIVERED_MAKE_MODEL</t>
  </si>
  <si>
    <t>RC_CUSTOMER_ACCOUNT.json.DELIVERED_MANUFACTURER_CODE</t>
  </si>
  <si>
    <t>001</t>
  </si>
  <si>
    <t>RC_CUSTOMER_ACCOUNT.json.DELIVERED_MFG_YEAR</t>
  </si>
  <si>
    <t>RC_CUSTOMER_ACCOUNT.json.DELIVERED_MODEL_CODE</t>
  </si>
  <si>
    <t>295</t>
  </si>
  <si>
    <t>RC_CUSTOMER_ACCOUNT.json.DELIVERED_VARIANT_CODE</t>
  </si>
  <si>
    <t>2370</t>
  </si>
  <si>
    <t>RC_CUSTOMER_ACCOUNT.json.DESPATCH_FOR_APPROVAL_THROUGH</t>
  </si>
  <si>
    <t>RC_CUSTOMER_ACCOUNT.json.DSA_CODE</t>
  </si>
  <si>
    <t>RC_CUSTOMER_ACCOUNT.json.EMI</t>
  </si>
  <si>
    <t>RC_CUSTOMER_ACCOUNT.json.EMI_DUE_DATE</t>
  </si>
  <si>
    <t>RC_CUSTOMER_ACCOUNT.json.EMI_PLAN</t>
  </si>
  <si>
    <t xml:space="preserve"> Normal</t>
  </si>
  <si>
    <t>RC_CUSTOMER_ACCOUNT.json.EMI_TYPE_ARREAR_ADVANCE</t>
  </si>
  <si>
    <t>Arrear</t>
  </si>
  <si>
    <t>RC_CUSTOMER_ACCOUNT.json.ENGINE_NUMBER</t>
  </si>
  <si>
    <t>RC_CUSTOMER_ACCOUNT.json.EX_SHOWROOM_OR_VALUATION</t>
  </si>
  <si>
    <t>591500</t>
  </si>
  <si>
    <t>RC_CUSTOMER_ACCOUNT.json.FILE_AT</t>
  </si>
  <si>
    <t>BANK</t>
  </si>
  <si>
    <t>RC_CUSTOMER_ACCOUNT.json.FILE_DESPATCH_BY</t>
  </si>
  <si>
    <t>MANINDER</t>
  </si>
  <si>
    <t>RC_CUSTOMER_ACCOUNT.json.FILE_POSITION</t>
  </si>
  <si>
    <t>RC_CUSTOMER_ACCOUNT.json.GUARANTOR_BASE_LENDING</t>
  </si>
  <si>
    <t>RC_CUSTOMER_ACCOUNT.json.GUARANTOR_RELATION</t>
  </si>
  <si>
    <t>RC_CUSTOMER_ACCOUNT.json.HAVING_RELATION_WITH_BANK</t>
  </si>
  <si>
    <t>RC_CUSTOMER_ACCOUNT.json.HP_GROUP</t>
  </si>
  <si>
    <t>RC_CUSTOMER_ACCOUNT.json.HP_TO</t>
  </si>
  <si>
    <t>RC_CUSTOMER_ACCOUNT.json.ICICI_CREDIT_ASSURED</t>
  </si>
  <si>
    <t>RC_CUSTOMER_ACCOUNT.json.INSURANCE</t>
  </si>
  <si>
    <t>RC_CUSTOMER_ACCOUNT.json.INSURANCE_BY</t>
  </si>
  <si>
    <t>Mnfg. Dealer</t>
  </si>
  <si>
    <t>RC_CUSTOMER_ACCOUNT.json.INSURANCE_COMPANY</t>
  </si>
  <si>
    <t>IFFCO-TOKIO General Insurance Co. Ltd.</t>
  </si>
  <si>
    <t>RC_CUSTOMER_ACCOUNT.json.INSURANCE_COVERNOTE_NUMBER</t>
  </si>
  <si>
    <t>IRDAN106RP0010201819</t>
  </si>
  <si>
    <t>RC_CUSTOMER_ACCOUNT.json.INSURANCE_FINANCED</t>
  </si>
  <si>
    <t>RC_CUSTOMER_ACCOUNT.json.INV_STATUS</t>
  </si>
  <si>
    <t>P</t>
  </si>
  <si>
    <t>RC_CUSTOMER_ACCOUNT.json.INVOICE_DATE</t>
  </si>
  <si>
    <t>RC_CUSTOMER_ACCOUNT.json.INVOICE_NUMBER</t>
  </si>
  <si>
    <t>RC_CUSTOMER_ACCOUNT.json.IS_ANY_PPII</t>
  </si>
  <si>
    <t>RC_CUSTOMER_ACCOUNT.json.IS_ANY_SUBVENTION</t>
  </si>
  <si>
    <t>RC_CUSTOMER_ACCOUNT.json.IS_APPROVAL_STATUS_RECEIVED</t>
  </si>
  <si>
    <t>RC_CUSTOMER_ACCOUNT.json.IS_CAR_REGISTER_ON_SAME_ADDRES</t>
  </si>
  <si>
    <t>RC_CUSTOMER_ACCOUNT.json.IS_DELIQUENT_CUSTOMER</t>
  </si>
  <si>
    <t>RC_CUSTOMER_ACCOUNT.json.IS_FILE_IN_HOLD</t>
  </si>
  <si>
    <t>RC_CUSTOMER_ACCOUNT.json.IS_IT_NEW_CUSTOMER</t>
  </si>
  <si>
    <t>RC_CUSTOMER_ACCOUNT.json.IS_IT_PRECLOSE</t>
  </si>
  <si>
    <t>RC_CUSTOMER_ACCOUNT.json.IS_LOAN_RECEIVED</t>
  </si>
  <si>
    <t>RC_CUSTOMER_ACCOUNT.json.IS_PAYOUT_APPLICABLE</t>
  </si>
  <si>
    <t>RC_CUSTOMER_ACCOUNT.json.IS_PAYOUT_RATE_TO_BE_CALCULATE</t>
  </si>
  <si>
    <t>RC_CUSTOMER_ACCOUNT.json.IS_PPII_APPLICABLE</t>
  </si>
  <si>
    <t>RC_CUSTOMER_ACCOUNT.json.IS_PPII_RECEIVED</t>
  </si>
  <si>
    <t>RC_CUSTOMER_ACCOUNT.json.IS_PRE_APPROVAL_REQUIRED</t>
  </si>
  <si>
    <t>RC_CUSTOMER_ACCOUNT.json.IS_RC_DESPATCH_TO_BANK</t>
  </si>
  <si>
    <t>RC_CUSTOMER_ACCOUNT.json.IS_RC_LIEN_MARKED</t>
  </si>
  <si>
    <t>RC_CUSTOMER_ACCOUNT.json.IS_SUB_VENTION_APPLICABLE</t>
  </si>
  <si>
    <t>RC_CUSTOMER_ACCOUNT.json.IS_SUB_VENTION_RECEIVED</t>
  </si>
  <si>
    <t>RC_CUSTOMER_ACCOUNT.json.IS_VEHICLE_DELIVERED</t>
  </si>
  <si>
    <t>RC_CUSTOMER_ACCOUNT.json.LENDING_BASE</t>
  </si>
  <si>
    <t>RC_CUSTOMER_ACCOUNT.json.LIEN_MARK</t>
  </si>
  <si>
    <t>RC_CUSTOMER_ACCOUNT.json.LINK_CODE</t>
  </si>
  <si>
    <t>RC_CUSTOMER_ACCOUNT.json.LINK_ID</t>
  </si>
  <si>
    <t>RC_CUSTOMER_ACCOUNT.json.LOAN_AMOUNT</t>
  </si>
  <si>
    <t>RC_CUSTOMER_ACCOUNT.json.LOAN_MATURITY_DATE</t>
  </si>
  <si>
    <t>2028-04-07T00:00:00</t>
  </si>
  <si>
    <t>RC_CUSTOMER_ACCOUNT.json.LOAN_NUMBER_MIDDLE</t>
  </si>
  <si>
    <t>RC_CUSTOMER_ACCOUNT.json.LOAN_NUMBER_PREFIX</t>
  </si>
  <si>
    <t>RC_CUSTOMER_ACCOUNT.json.LOAN_NUMBER_SUFFIX</t>
  </si>
  <si>
    <t>158898336</t>
  </si>
  <si>
    <t>RC_CUSTOMER_ACCOUNT.json.LOAN_PAYMENT_NUMBER</t>
  </si>
  <si>
    <t>RC_CUSTOMER_ACCOUNT.json.LOAN_RECEIVED_AMOUNT</t>
  </si>
  <si>
    <t>RC_CUSTOMER_ACCOUNT.json.MAKE_MODEL</t>
  </si>
  <si>
    <t>RC_CUSTOMER_ACCOUNT.json.MANUFACTURER_CODE</t>
  </si>
  <si>
    <t>RC_CUSTOMER_ACCOUNT.json.MFG_YEAR</t>
  </si>
  <si>
    <t>RC_CUSTOMER_ACCOUNT.json.MOBILE_NUMBER</t>
  </si>
  <si>
    <t>RC_CUSTOMER_ACCOUNT.json.MODEL_CODE</t>
  </si>
  <si>
    <t>RC_CUSTOMER_ACCOUNT.json.ORIGIN_CODE</t>
  </si>
  <si>
    <t>RC_CUSTOMER_ACCOUNT.json.ORIGINAL_HP_GROUP</t>
  </si>
  <si>
    <t>RC_CUSTOMER_ACCOUNT.json.OVERALL_STATUS</t>
  </si>
  <si>
    <t>RC_CUSTOMER_ACCOUNT.json.PAYMENT_FAVOURING_AT_BOOKING</t>
  </si>
  <si>
    <t>T R  SAWHNEY MOTORS PVT LTD</t>
  </si>
  <si>
    <t>RC_CUSTOMER_ACCOUNT.json.PAYMENT_FAVOURING_AT_DESPATCH</t>
  </si>
  <si>
    <t>RC_CUSTOMER_ACCOUNT.json.PAYOUT_RATE</t>
  </si>
  <si>
    <t>RC_CUSTOMER_ACCOUNT.json.PERSON_WHO_DELIVERED_THE_CAR</t>
  </si>
  <si>
    <t>CUSTOMER</t>
  </si>
  <si>
    <t>RC_CUSTOMER_ACCOUNT.json.PHONE_NUMBERS_OFFICE</t>
  </si>
  <si>
    <t>RC_CUSTOMER_ACCOUNT.json.PHONE_NUMBERS_RESI</t>
  </si>
  <si>
    <t>RC_CUSTOMER_ACCOUNT.json.POST_DOCS_PREPARED_BY</t>
  </si>
  <si>
    <t>KOMAL JOHAR</t>
  </si>
  <si>
    <t>RC_CUSTOMER_ACCOUNT.json.PPII_AMOUNT</t>
  </si>
  <si>
    <t>RC_CUSTOMER_ACCOUNT.json.PPII_AMOUNT_RECEIVED</t>
  </si>
  <si>
    <t>RC_CUSTOMER_ACCOUNT.json.PPII_PAYMENT_NUMBER</t>
  </si>
  <si>
    <t>RC_CUSTOMER_ACCOUNT.json.PRE_APPROVAL_REMARKS</t>
  </si>
  <si>
    <t>RC_CUSTOMER_ACCOUNT.json.PRE_APPROVAL_STATUS</t>
  </si>
  <si>
    <t>RC_CUSTOMER_ACCOUNT.json.PRE_DOCS_PREPARED_BY</t>
  </si>
  <si>
    <t>RC_CUSTOMER_ACCOUNT.json.PRECLOSE_AMOUNT</t>
  </si>
  <si>
    <t>RC_CUSTOMER_ACCOUNT.json.PRECLOSE_ON_DATE</t>
  </si>
  <si>
    <t>RC_CUSTOMER_ACCOUNT.json.PRECLOSE_REMARKS</t>
  </si>
  <si>
    <t>RC_CUSTOMER_ACCOUNT.json.PRECLOSE_THROUGH</t>
  </si>
  <si>
    <t>RC_CUSTOMER_ACCOUNT.json.RC_STATUS</t>
  </si>
  <si>
    <t>RC_CUSTOMER_ACCOUNT.json.RC_STORAGE_NUMBER</t>
  </si>
  <si>
    <t>RC_CUSTOMER_ACCOUNT.json.REGISTRATION_NUMBER</t>
  </si>
  <si>
    <t>DL5CW7194</t>
  </si>
  <si>
    <t>RC_CUSTOMER_ACCOUNT.json.REMARKS</t>
  </si>
  <si>
    <t>RC_CUSTOMER_ACCOUNT.json.ROAD_TAX</t>
  </si>
  <si>
    <t>RC_CUSTOMER_ACCOUNT.json.ROI</t>
  </si>
  <si>
    <t>RC_CUSTOMER_ACCOUNT.json.ROI_TYPE</t>
  </si>
  <si>
    <t>Fixed</t>
  </si>
  <si>
    <t>RC_CUSTOMER_ACCOUNT.json.SHOWROOM_CODE</t>
  </si>
  <si>
    <t>052</t>
  </si>
  <si>
    <t>RC_CUSTOMER_ACCOUNT.json.SOURCE</t>
  </si>
  <si>
    <t>Direct</t>
  </si>
  <si>
    <t>RC_CUSTOMER_ACCOUNT.json.SOURCE_REFERENCE</t>
  </si>
  <si>
    <t>RC_CUSTOMER_ACCOUNT.json.SPECIAL_APPROVAL_NUMBER</t>
  </si>
  <si>
    <t>RC_CUSTOMER_ACCOUNT.json.STATUS</t>
  </si>
  <si>
    <t>B</t>
  </si>
  <si>
    <t>RC_CUSTOMER_ACCOUNT.json.SUB_VENTION_PAYMENT_NUMBER</t>
  </si>
  <si>
    <t>RC_CUSTOMER_ACCOUNT.json.SUB_VENTION_RECEIVED_AMOUNT</t>
  </si>
  <si>
    <t>RC_CUSTOMER_ACCOUNT.json.SUBVENTION_AMOUNT</t>
  </si>
  <si>
    <t>RC_CUSTOMER_ACCOUNT.json.SUBVENTION_TO_CUSTOMER</t>
  </si>
  <si>
    <t>RC_CUSTOMER_ACCOUNT.json.TEMP_CUST_CODE</t>
  </si>
  <si>
    <t>RC_CUSTOMER_ACCOUNT.json.TEMP_MODEL</t>
  </si>
  <si>
    <t>RC_CUSTOMER_ACCOUNT.json.TEMP_VARIANT</t>
  </si>
  <si>
    <t>RC_CUSTOMER_ACCOUNT.json.TEMP_YEAR</t>
  </si>
  <si>
    <t>RC_CUSTOMER_ACCOUNT.json.TENOR</t>
  </si>
  <si>
    <t>RC_CUSTOMER_ACCOUNT.json.TIME_OF_APPROVAL_STATUS_TAKEN</t>
  </si>
  <si>
    <t>RC_CUSTOMER_ACCOUNT.json.TIME_OF_DESPATCH_FOR_APPROVAL</t>
  </si>
  <si>
    <t>RC_CUSTOMER_ACCOUNT.json.TIME_OF_FILE_DESPATCH</t>
  </si>
  <si>
    <t>2.30 PM</t>
  </si>
  <si>
    <t>RC_CUSTOMER_ACCOUNT.json.TIME_WHEN_FILE_DESPATCH</t>
  </si>
  <si>
    <t>RC_CUSTOMER_ACCOUNT.json.TIME_WHEN_FILE_REACHED_AT_CPA</t>
  </si>
  <si>
    <t>RC_CUSTOMER_ACCOUNT.json.TIME_WHEN_FILE_RECEIVED</t>
  </si>
  <si>
    <t>05:27 PM</t>
  </si>
  <si>
    <t>RC_CUSTOMER_ACCOUNT.json.VARIANT_CODE</t>
  </si>
  <si>
    <t>RC_CUSTOMER_ACCOUNT.json.VEHICLE_DELIVERED_BY</t>
  </si>
  <si>
    <t>RC_CUSTOMER_ACCOUNT.json.VERIFIED_FILE_DESPATCH_TO_BANK</t>
  </si>
  <si>
    <t>RC_CUSTOMER_ACCOUNT.json.VERIFIED_FILE_RECEIVED</t>
  </si>
  <si>
    <t>RC_DOC_DESPATCH_MASTER.json.DATA_LOCATION_CODE</t>
  </si>
  <si>
    <t>RC_DOC_DESPATCH_MASTER.json.DATE_OF_DESP</t>
  </si>
  <si>
    <t>RC_DOC_DESPATCH_MASTER.json.DESP_THROUGH</t>
  </si>
  <si>
    <t>RC_DOC_DESPATCH_MASTER.json.DESPATCH_ID</t>
  </si>
  <si>
    <t>0000019569</t>
  </si>
  <si>
    <t>RC_DOC_DESPATCH_MASTER.json.DOC_DESP_AS</t>
  </si>
  <si>
    <t>Post-Approval</t>
  </si>
  <si>
    <t>RC_DOC_DESPATCH_MASTER.json.DOCS_COLLECTED_BY</t>
  </si>
  <si>
    <t>RC_DOC_DESPATCH_MASTER.json.DOCS_PREPARED_BY</t>
  </si>
  <si>
    <t>RC_DOC_DESPATCH_MASTER.json.TEMP_CUST_CODE</t>
  </si>
  <si>
    <t>RC_DOC_DESPATCH_MASTER.json.TIME_OF_DESP</t>
  </si>
  <si>
    <t>RC_INSTRUMENT_DETAIL.json.ACCOUNT_NUMBER</t>
  </si>
  <si>
    <t>RC_INSTRUMENT_DETAIL.json.DATA_LOCATION_CODE</t>
  </si>
  <si>
    <t>RC_INSTRUMENT_DETAIL.json.DRAWN_ON</t>
  </si>
  <si>
    <t>HDFC BANK LTD.</t>
  </si>
  <si>
    <t>RC_INSTRUMENT_DETAIL.json.ENTERED_BY</t>
  </si>
  <si>
    <t xml:space="preserve">DHEERAJ        </t>
  </si>
  <si>
    <t>RC_INSTRUMENT_DETAIL.json.ENTERED_ON_DATE</t>
  </si>
  <si>
    <t>RC_INSTRUMENT_DETAIL.json.HP_GROUP</t>
  </si>
  <si>
    <t>RC_INSTRUMENT_DETAIL.json.INSTRMNT_AMOUNT</t>
  </si>
  <si>
    <t>RC_INSTRUMENT_DETAIL.json.INSTRMNT_BY_BORWR_GRNTR</t>
  </si>
  <si>
    <t>Borrower</t>
  </si>
  <si>
    <t>RC_INSTRUMENT_DETAIL.json.INSTRMNT_DATE</t>
  </si>
  <si>
    <t>RC_INSTRUMENT_DETAIL.json.INSTRMNT_FAVOURING</t>
  </si>
  <si>
    <t>RC_INSTRUMENT_DETAIL.json.INSTRMNT_NO</t>
  </si>
  <si>
    <t>RC_INSTRUMENT_DETAIL.json.INSTRMNT_RECPT_ID_NO</t>
  </si>
  <si>
    <t>0000086679</t>
  </si>
  <si>
    <t>RC_INSTRUMENT_DETAIL.json.INSTRMNT_TYPE</t>
  </si>
  <si>
    <t>SI</t>
  </si>
  <si>
    <t>RC_INSTRUMENT_DETAIL.json.LAST_UPDATE_ON_DATE</t>
  </si>
  <si>
    <t>RC_INSTRUMENT_DETAIL.json.LAST_UPDATED_BY_USER</t>
  </si>
  <si>
    <t>RC_INSTRUMENT_DETAIL.json.MICR_CODE</t>
  </si>
  <si>
    <t>RC_INSTRUMENT_DETAIL.json.STATUS</t>
  </si>
  <si>
    <t>In Hand</t>
  </si>
  <si>
    <t>RC_INSTRUMENT_DETAIL.json.STATUS_BY_USER</t>
  </si>
  <si>
    <t>RC_INSTRUMENT_DETAIL.json.STATUS_ON_DATE</t>
  </si>
  <si>
    <t>RC_INSTRUMENT_DETAIL.json.TEMP_CUST_CODE</t>
  </si>
  <si>
    <t>RC_RC_INV_RECEIVING_DETAIL.json.CHASIS_NUMBER</t>
  </si>
  <si>
    <t>MA3RFL61SRH517691</t>
  </si>
  <si>
    <t>RC_RC_INV_RECEIVING_DETAIL.json.DATA_LOCATION_CODE</t>
  </si>
  <si>
    <t>RC_RC_INV_RECEIVING_DETAIL.json.DATE_OF_REGISTRATION</t>
  </si>
  <si>
    <t>2025-01-16T00:00:00</t>
  </si>
  <si>
    <t>RC_RC_INV_RECEIVING_DETAIL.json.DISPLACEMENT</t>
  </si>
  <si>
    <t>RC_RC_INV_RECEIVING_DETAIL.json.ENGINE_NUMBER</t>
  </si>
  <si>
    <t>K10CNC639455</t>
  </si>
  <si>
    <t>RC_RC_INV_RECEIVING_DETAIL.json.INV_RECEIVED_AS</t>
  </si>
  <si>
    <t>PhotoCopy</t>
  </si>
  <si>
    <t>RC_RC_INV_RECEIVING_DETAIL.json.INV_RECEIVED_FROM</t>
  </si>
  <si>
    <t>RC_RC_INV_RECEIVING_DETAIL.json.INV_RECEIVED_ON_DATE</t>
  </si>
  <si>
    <t>RC_RC_INV_RECEIVING_DETAIL.json.INVOICE_DATE</t>
  </si>
  <si>
    <t>RC_RC_INV_RECEIVING_DETAIL.json.INVOICE_NUMBER</t>
  </si>
  <si>
    <t>16/VSL/24002904</t>
  </si>
  <si>
    <t>RC_RC_INV_RECEIVING_DETAIL.json.LIEN_MARK</t>
  </si>
  <si>
    <t>RC_RC_INV_RECEIVING_DETAIL.json.NO_OF_CYLINDERS</t>
  </si>
  <si>
    <t>RC_RC_INV_RECEIVING_DETAIL.json.ON_DATE</t>
  </si>
  <si>
    <t>2025-03-10T00:00:00</t>
  </si>
  <si>
    <t>RC_RC_INV_RECEIVING_DETAIL.json.RC_RECEIVED_AS</t>
  </si>
  <si>
    <t>Original</t>
  </si>
  <si>
    <t>RC_RC_INV_RECEIVING_DETAIL.json.RC_RECEIVED_FROM</t>
  </si>
  <si>
    <t>PORTAL</t>
  </si>
  <si>
    <t>RC_RC_INV_RECEIVING_DETAIL.json.RC_RECEIVED_ON_DATE</t>
  </si>
  <si>
    <t>RC_RC_INV_RECEIVING_DETAIL.json.RECEIVING_NO</t>
  </si>
  <si>
    <t>3000005799</t>
  </si>
  <si>
    <t>RC_RC_INV_RECEIVING_DETAIL.json.REGD_NUMBER</t>
  </si>
  <si>
    <t>RC_RC_INV_RECEIVING_DETAIL.json.SEATING_CAPACITY</t>
  </si>
  <si>
    <t>RC_RC_INV_RECEIVING_DETAIL.json.TEMP_CUST_CODE</t>
  </si>
  <si>
    <t>RC_RC_INV_RECEIVING_DETAIL.json.UNLAIDEN_WEIGHT</t>
  </si>
  <si>
    <t>RC_RC_INV_RECEIVING_DETAIL.json.USER_NAME</t>
  </si>
  <si>
    <t>RC_RC_INV_STATUS.json.AGEING_FOR_BANK</t>
  </si>
  <si>
    <t>-730069</t>
  </si>
  <si>
    <t>RC_RC_INV_STATUS.json.AGEING_FOR_US</t>
  </si>
  <si>
    <t>-730071</t>
  </si>
  <si>
    <t>RC_RC_INV_STATUS.json.CASE_TYPE_CODE</t>
  </si>
  <si>
    <t>RC_RC_INV_STATUS.json.CHASIS_NUMBER</t>
  </si>
  <si>
    <t>RC_RC_INV_STATUS.json.DATA_LOCATION_CODE</t>
  </si>
  <si>
    <t>RC_RC_INV_STATUS.json.DATE_OF_DELIVERY</t>
  </si>
  <si>
    <t>RC_RC_INV_STATUS.json.DATE_OF_DISBURSE</t>
  </si>
  <si>
    <t>RC_RC_INV_STATUS.json.DATE_OF_REGISTRATION</t>
  </si>
  <si>
    <t>RC_RC_INV_STATUS.json.ENGINE_NUMBER</t>
  </si>
  <si>
    <t>RC_RC_INV_STATUS.json.HP_GROUP</t>
  </si>
  <si>
    <t>RC_RC_INV_STATUS.json.INV_STATUS</t>
  </si>
  <si>
    <t>R</t>
  </si>
  <si>
    <t>RC_RC_INV_STATUS.json.INVOICE_DATE</t>
  </si>
  <si>
    <t>RC_RC_INV_STATUS.json.INVOICE_NUMBER</t>
  </si>
  <si>
    <t>RC_RC_INV_STATUS.json.IS_RC_DESPATCH_TO_BANK</t>
  </si>
  <si>
    <t>RC_RC_INV_STATUS.json.IS_VEHICLE_DELIVERED</t>
  </si>
  <si>
    <t>RC_RC_INV_STATUS.json.LIEN_MARK</t>
  </si>
  <si>
    <t>RC_RC_INV_STATUS.json.MAKE_MODEL</t>
  </si>
  <si>
    <t>RC_RC_INV_STATUS.json.MANUFACTURER_CODE</t>
  </si>
  <si>
    <t>RC_RC_INV_STATUS.json.MFG_YEAR</t>
  </si>
  <si>
    <t>RC_RC_INV_STATUS.json.MODEL_CODE</t>
  </si>
  <si>
    <t>RC_RC_INV_STATUS.json.ORIGINAL_HP_GROUP</t>
  </si>
  <si>
    <t>RC_RC_INV_STATUS.json.OVERALL_STATUS</t>
  </si>
  <si>
    <t>RC_RC_INV_STATUS.json.RC_STATUS</t>
  </si>
  <si>
    <t>RC_RC_INV_STATUS.json.RC_STORAGE_NUMBER</t>
  </si>
  <si>
    <t>3815</t>
  </si>
  <si>
    <t>RC_RC_INV_STATUS.json.REGD_NUMBER</t>
  </si>
  <si>
    <t>RC_RC_INV_STATUS.json.TEMP_CUST_CODE</t>
  </si>
  <si>
    <t>RC_RC_INV_STATUS.json.VARIANT_CODE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</si>
</sst>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61"/>
  <sheetViews>
    <sheetView topLeftCell="A373" workbookViewId="0">
      <selection activeCell="G408" sqref="G408"/>
    </sheetView>
  </sheetViews>
  <sheetFormatPr baseColWidth="10" defaultColWidth="8.83203125" defaultRowHeight="15" x14ac:dyDescent="0.2"/>
  <cols>
    <col min="1" max="1" width="60" customWidth="1"/>
    <col min="2" max="2" width="17" customWidth="1"/>
    <col min="3" max="3" width="33" customWidth="1"/>
    <col min="4" max="4" width="28" customWidth="1"/>
    <col min="5" max="5" width="56" customWidth="1"/>
    <col min="6" max="6" width="28" customWidth="1"/>
    <col min="7" max="7" width="36" customWidth="1"/>
    <col min="8" max="8" width="19" customWidth="1"/>
    <col min="9" max="10" width="12" customWidth="1"/>
    <col min="11" max="11" width="50" customWidth="1"/>
    <col min="12" max="13" width="30" customWidth="1"/>
    <col min="14" max="14" width="36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">
      <c r="A2" t="s">
        <v>248</v>
      </c>
      <c r="B2" t="s">
        <v>249</v>
      </c>
      <c r="C2" t="s">
        <v>16</v>
      </c>
      <c r="D2" t="s">
        <v>250</v>
      </c>
      <c r="E2" t="s">
        <v>251</v>
      </c>
      <c r="F2" t="s">
        <v>19</v>
      </c>
      <c r="G2" t="s">
        <v>42</v>
      </c>
      <c r="H2">
        <v>1</v>
      </c>
      <c r="I2" t="s">
        <v>21</v>
      </c>
      <c r="J2" t="s">
        <v>22</v>
      </c>
      <c r="K2" t="s">
        <v>252</v>
      </c>
      <c r="N2" t="str">
        <f ca="1">IFERROR(_xludf.XLOOKUP($F2&amp;"."&amp;$G2,CaseSource!$A$2:$A$371,CaseSource!$B$2:$B$371,""),"")</f>
        <v/>
      </c>
    </row>
    <row r="3" spans="1:14" hidden="1" x14ac:dyDescent="0.2">
      <c r="A3" t="s">
        <v>248</v>
      </c>
      <c r="B3" t="s">
        <v>249</v>
      </c>
      <c r="C3" t="s">
        <v>16</v>
      </c>
      <c r="D3" t="s">
        <v>250</v>
      </c>
      <c r="E3" t="s">
        <v>251</v>
      </c>
      <c r="F3" t="s">
        <v>44</v>
      </c>
      <c r="G3" t="s">
        <v>42</v>
      </c>
      <c r="H3">
        <v>2</v>
      </c>
      <c r="I3" t="s">
        <v>21</v>
      </c>
      <c r="J3" t="s">
        <v>22</v>
      </c>
      <c r="K3" t="s">
        <v>252</v>
      </c>
      <c r="N3" t="str">
        <f ca="1">IFERROR(_xludf.XLOOKUP($F3&amp;"."&amp;$G3,CaseSource!$A$2:$A$371,CaseSource!$B$2:$B$371,""),"")</f>
        <v/>
      </c>
    </row>
    <row r="4" spans="1:14" hidden="1" x14ac:dyDescent="0.2">
      <c r="A4" t="s">
        <v>248</v>
      </c>
      <c r="B4" t="s">
        <v>249</v>
      </c>
      <c r="C4" t="s">
        <v>16</v>
      </c>
      <c r="D4" t="s">
        <v>250</v>
      </c>
      <c r="E4" t="s">
        <v>251</v>
      </c>
      <c r="F4" t="s">
        <v>19</v>
      </c>
      <c r="G4" t="s">
        <v>46</v>
      </c>
      <c r="H4">
        <v>3</v>
      </c>
      <c r="I4" t="s">
        <v>21</v>
      </c>
      <c r="J4" t="s">
        <v>22</v>
      </c>
      <c r="K4" t="s">
        <v>252</v>
      </c>
      <c r="N4" t="str">
        <f ca="1">IFERROR(_xludf.XLOOKUP($F4&amp;"."&amp;$G4,CaseSource!$A$2:$A$371,CaseSource!$B$2:$B$371,""),"")</f>
        <v/>
      </c>
    </row>
    <row r="5" spans="1:14" hidden="1" x14ac:dyDescent="0.2">
      <c r="A5" t="s">
        <v>248</v>
      </c>
      <c r="B5" t="s">
        <v>249</v>
      </c>
      <c r="C5" t="s">
        <v>16</v>
      </c>
      <c r="D5" t="s">
        <v>250</v>
      </c>
      <c r="E5" t="s">
        <v>251</v>
      </c>
      <c r="F5" t="s">
        <v>24</v>
      </c>
      <c r="G5" t="s">
        <v>237</v>
      </c>
      <c r="H5">
        <v>4</v>
      </c>
      <c r="I5" t="s">
        <v>21</v>
      </c>
      <c r="J5" t="s">
        <v>22</v>
      </c>
      <c r="K5" t="s">
        <v>252</v>
      </c>
      <c r="N5" t="str">
        <f ca="1">IFERROR(_xludf.XLOOKUP($F5&amp;"."&amp;$G5,CaseSource!$A$2:$A$371,CaseSource!$B$2:$B$371,""),"")</f>
        <v/>
      </c>
    </row>
    <row r="6" spans="1:14" hidden="1" x14ac:dyDescent="0.2">
      <c r="A6" t="s">
        <v>312</v>
      </c>
      <c r="B6" t="s">
        <v>249</v>
      </c>
      <c r="C6" t="s">
        <v>16</v>
      </c>
      <c r="D6" t="s">
        <v>31</v>
      </c>
      <c r="F6" t="s">
        <v>19</v>
      </c>
      <c r="G6" t="s">
        <v>311</v>
      </c>
      <c r="H6">
        <v>1</v>
      </c>
      <c r="I6" t="s">
        <v>21</v>
      </c>
      <c r="J6" t="s">
        <v>22</v>
      </c>
      <c r="K6" t="s">
        <v>126</v>
      </c>
      <c r="N6" t="str">
        <f ca="1">IFERROR(_xludf.XLOOKUP($F6&amp;"."&amp;$G6,CaseSource!$A$2:$A$371,CaseSource!$B$2:$B$371,""),"")</f>
        <v/>
      </c>
    </row>
    <row r="7" spans="1:14" hidden="1" x14ac:dyDescent="0.2">
      <c r="A7" t="s">
        <v>365</v>
      </c>
      <c r="B7" t="s">
        <v>249</v>
      </c>
      <c r="C7" t="s">
        <v>16</v>
      </c>
      <c r="D7" t="s">
        <v>31</v>
      </c>
      <c r="H7">
        <v>1</v>
      </c>
      <c r="I7" t="s">
        <v>21</v>
      </c>
      <c r="J7" t="s">
        <v>22</v>
      </c>
      <c r="N7" t="str">
        <f ca="1">IFERROR(_xludf.XLOOKUP($F7&amp;"."&amp;$G7,CaseSource!$A$2:$A$371,CaseSource!$B$2:$B$371,""),"")</f>
        <v/>
      </c>
    </row>
    <row r="8" spans="1:14" hidden="1" x14ac:dyDescent="0.2">
      <c r="A8" t="s">
        <v>366</v>
      </c>
      <c r="B8" t="s">
        <v>249</v>
      </c>
      <c r="C8" t="s">
        <v>16</v>
      </c>
      <c r="D8" t="s">
        <v>31</v>
      </c>
      <c r="H8">
        <v>1</v>
      </c>
      <c r="I8" t="s">
        <v>21</v>
      </c>
      <c r="J8" t="s">
        <v>22</v>
      </c>
      <c r="N8" t="str">
        <f ca="1">IFERROR(_xludf.XLOOKUP($F8&amp;"."&amp;$G8,CaseSource!$A$2:$A$371,CaseSource!$B$2:$B$371,""),"")</f>
        <v/>
      </c>
    </row>
    <row r="9" spans="1:14" hidden="1" x14ac:dyDescent="0.2">
      <c r="A9" t="s">
        <v>368</v>
      </c>
      <c r="B9" t="s">
        <v>249</v>
      </c>
      <c r="C9" t="s">
        <v>16</v>
      </c>
      <c r="D9" t="s">
        <v>31</v>
      </c>
      <c r="H9">
        <v>1</v>
      </c>
      <c r="I9" t="s">
        <v>21</v>
      </c>
      <c r="J9" t="s">
        <v>22</v>
      </c>
      <c r="N9" t="str">
        <f ca="1">IFERROR(_xludf.XLOOKUP($F9&amp;"."&amp;$G9,CaseSource!$A$2:$A$371,CaseSource!$B$2:$B$371,""),"")</f>
        <v/>
      </c>
    </row>
    <row r="10" spans="1:14" hidden="1" x14ac:dyDescent="0.2">
      <c r="A10" t="s">
        <v>369</v>
      </c>
      <c r="B10" t="s">
        <v>249</v>
      </c>
      <c r="C10" t="s">
        <v>16</v>
      </c>
      <c r="D10" t="s">
        <v>31</v>
      </c>
      <c r="H10">
        <v>1</v>
      </c>
      <c r="I10" t="s">
        <v>21</v>
      </c>
      <c r="J10" t="s">
        <v>22</v>
      </c>
      <c r="N10" t="str">
        <f ca="1">IFERROR(_xludf.XLOOKUP($F10&amp;"."&amp;$G10,CaseSource!$A$2:$A$371,CaseSource!$B$2:$B$371,""),"")</f>
        <v/>
      </c>
    </row>
    <row r="11" spans="1:14" hidden="1" x14ac:dyDescent="0.2">
      <c r="A11" t="s">
        <v>370</v>
      </c>
      <c r="B11" t="s">
        <v>249</v>
      </c>
      <c r="C11" t="s">
        <v>16</v>
      </c>
      <c r="D11" t="s">
        <v>31</v>
      </c>
      <c r="H11">
        <v>1</v>
      </c>
      <c r="I11" t="s">
        <v>21</v>
      </c>
      <c r="J11" t="s">
        <v>22</v>
      </c>
      <c r="N11" t="str">
        <f ca="1">IFERROR(_xludf.XLOOKUP($F11&amp;"."&amp;$G11,CaseSource!$A$2:$A$371,CaseSource!$B$2:$B$371,""),"")</f>
        <v/>
      </c>
    </row>
    <row r="12" spans="1:14" hidden="1" x14ac:dyDescent="0.2">
      <c r="A12" t="s">
        <v>371</v>
      </c>
      <c r="B12" t="s">
        <v>249</v>
      </c>
      <c r="C12" t="s">
        <v>16</v>
      </c>
      <c r="D12" t="s">
        <v>31</v>
      </c>
      <c r="H12">
        <v>1</v>
      </c>
      <c r="I12" t="s">
        <v>21</v>
      </c>
      <c r="J12" t="s">
        <v>22</v>
      </c>
      <c r="N12" t="str">
        <f ca="1">IFERROR(_xludf.XLOOKUP($F12&amp;"."&amp;$G12,CaseSource!$A$2:$A$371,CaseSource!$B$2:$B$371,""),"")</f>
        <v/>
      </c>
    </row>
    <row r="13" spans="1:14" hidden="1" x14ac:dyDescent="0.2">
      <c r="A13" t="s">
        <v>372</v>
      </c>
      <c r="B13" t="s">
        <v>249</v>
      </c>
      <c r="C13" t="s">
        <v>16</v>
      </c>
      <c r="D13" t="s">
        <v>250</v>
      </c>
      <c r="E13" t="s">
        <v>373</v>
      </c>
      <c r="H13">
        <v>1</v>
      </c>
      <c r="I13" t="s">
        <v>21</v>
      </c>
      <c r="J13" t="s">
        <v>22</v>
      </c>
      <c r="N13" t="str">
        <f ca="1">IFERROR(_xludf.XLOOKUP($F13&amp;"."&amp;$G13,CaseSource!$A$2:$A$371,CaseSource!$B$2:$B$371,""),"")</f>
        <v/>
      </c>
    </row>
    <row r="14" spans="1:14" hidden="1" x14ac:dyDescent="0.2">
      <c r="A14" t="s">
        <v>374</v>
      </c>
      <c r="B14" t="s">
        <v>249</v>
      </c>
      <c r="C14" t="s">
        <v>16</v>
      </c>
      <c r="D14" t="s">
        <v>31</v>
      </c>
      <c r="H14">
        <v>1</v>
      </c>
      <c r="I14" t="s">
        <v>21</v>
      </c>
      <c r="J14" t="s">
        <v>22</v>
      </c>
      <c r="N14" t="str">
        <f ca="1">IFERROR(_xludf.XLOOKUP($F14&amp;"."&amp;$G14,CaseSource!$A$2:$A$371,CaseSource!$B$2:$B$371,""),"")</f>
        <v/>
      </c>
    </row>
    <row r="15" spans="1:14" hidden="1" x14ac:dyDescent="0.2">
      <c r="A15" t="s">
        <v>375</v>
      </c>
      <c r="B15" t="s">
        <v>249</v>
      </c>
      <c r="C15" t="s">
        <v>16</v>
      </c>
      <c r="D15" t="s">
        <v>31</v>
      </c>
      <c r="H15">
        <v>1</v>
      </c>
      <c r="I15" t="s">
        <v>21</v>
      </c>
      <c r="J15" t="s">
        <v>22</v>
      </c>
      <c r="N15" t="str">
        <f ca="1">IFERROR(_xludf.XLOOKUP($F15&amp;"."&amp;$G15,CaseSource!$A$2:$A$371,CaseSource!$B$2:$B$371,""),"")</f>
        <v/>
      </c>
    </row>
    <row r="16" spans="1:14" hidden="1" x14ac:dyDescent="0.2">
      <c r="A16" t="s">
        <v>376</v>
      </c>
      <c r="B16" t="s">
        <v>249</v>
      </c>
      <c r="C16" t="s">
        <v>16</v>
      </c>
      <c r="D16" t="s">
        <v>31</v>
      </c>
      <c r="H16">
        <v>1</v>
      </c>
      <c r="I16" t="s">
        <v>21</v>
      </c>
      <c r="J16" t="s">
        <v>22</v>
      </c>
      <c r="N16" t="str">
        <f ca="1">IFERROR(_xludf.XLOOKUP($F16&amp;"."&amp;$G16,CaseSource!$A$2:$A$371,CaseSource!$B$2:$B$371,""),"")</f>
        <v/>
      </c>
    </row>
    <row r="17" spans="1:14" hidden="1" x14ac:dyDescent="0.2">
      <c r="A17" t="s">
        <v>377</v>
      </c>
      <c r="B17" t="s">
        <v>249</v>
      </c>
      <c r="C17" t="s">
        <v>16</v>
      </c>
      <c r="D17" t="s">
        <v>31</v>
      </c>
      <c r="H17">
        <v>1</v>
      </c>
      <c r="I17" t="s">
        <v>21</v>
      </c>
      <c r="J17" t="s">
        <v>22</v>
      </c>
      <c r="N17" t="str">
        <f ca="1">IFERROR(_xludf.XLOOKUP($F17&amp;"."&amp;$G17,CaseSource!$A$2:$A$371,CaseSource!$B$2:$B$371,""),"")</f>
        <v/>
      </c>
    </row>
    <row r="18" spans="1:14" hidden="1" x14ac:dyDescent="0.2">
      <c r="A18" t="s">
        <v>378</v>
      </c>
      <c r="B18" t="s">
        <v>249</v>
      </c>
      <c r="C18" t="s">
        <v>16</v>
      </c>
      <c r="D18" t="s">
        <v>250</v>
      </c>
      <c r="E18" t="s">
        <v>379</v>
      </c>
      <c r="H18">
        <v>1</v>
      </c>
      <c r="I18" t="s">
        <v>21</v>
      </c>
      <c r="J18" t="s">
        <v>22</v>
      </c>
      <c r="N18" t="str">
        <f ca="1">IFERROR(_xludf.XLOOKUP($F18&amp;"."&amp;$G18,CaseSource!$A$2:$A$371,CaseSource!$B$2:$B$371,""),"")</f>
        <v/>
      </c>
    </row>
    <row r="19" spans="1:14" hidden="1" x14ac:dyDescent="0.2">
      <c r="A19" t="s">
        <v>380</v>
      </c>
      <c r="B19" t="s">
        <v>249</v>
      </c>
      <c r="C19" t="s">
        <v>381</v>
      </c>
      <c r="D19" t="s">
        <v>31</v>
      </c>
      <c r="H19">
        <v>1</v>
      </c>
      <c r="I19" t="s">
        <v>21</v>
      </c>
      <c r="J19" t="s">
        <v>22</v>
      </c>
      <c r="N19" t="str">
        <f ca="1">IFERROR(_xludf.XLOOKUP($F19&amp;"."&amp;$G19,CaseSource!$A$2:$A$371,CaseSource!$B$2:$B$371,""),"")</f>
        <v/>
      </c>
    </row>
    <row r="20" spans="1:14" hidden="1" x14ac:dyDescent="0.2">
      <c r="A20" t="s">
        <v>382</v>
      </c>
      <c r="B20" t="s">
        <v>249</v>
      </c>
      <c r="C20" t="s">
        <v>16</v>
      </c>
      <c r="D20" t="s">
        <v>31</v>
      </c>
      <c r="H20">
        <v>1</v>
      </c>
      <c r="I20" t="s">
        <v>21</v>
      </c>
      <c r="J20" t="s">
        <v>22</v>
      </c>
      <c r="N20" t="str">
        <f ca="1">IFERROR(_xludf.XLOOKUP($F20&amp;"."&amp;$G20,CaseSource!$A$2:$A$371,CaseSource!$B$2:$B$371,""),"")</f>
        <v/>
      </c>
    </row>
    <row r="21" spans="1:14" hidden="1" x14ac:dyDescent="0.2">
      <c r="A21" t="s">
        <v>557</v>
      </c>
      <c r="B21" t="s">
        <v>249</v>
      </c>
      <c r="C21" t="s">
        <v>381</v>
      </c>
      <c r="D21" t="s">
        <v>31</v>
      </c>
      <c r="H21">
        <v>1</v>
      </c>
      <c r="I21" t="s">
        <v>21</v>
      </c>
      <c r="J21" t="s">
        <v>22</v>
      </c>
      <c r="N21" t="str">
        <f ca="1">IFERROR(_xludf.XLOOKUP($F21&amp;"."&amp;$G21,CaseSource!$A$2:$A$371,CaseSource!$B$2:$B$371,""),"")</f>
        <v/>
      </c>
    </row>
    <row r="22" spans="1:14" hidden="1" x14ac:dyDescent="0.2">
      <c r="A22" t="s">
        <v>277</v>
      </c>
      <c r="B22" t="s">
        <v>278</v>
      </c>
      <c r="C22" t="s">
        <v>279</v>
      </c>
      <c r="D22" t="s">
        <v>31</v>
      </c>
      <c r="F22" t="s">
        <v>19</v>
      </c>
      <c r="G22" t="s">
        <v>45</v>
      </c>
      <c r="H22">
        <v>1</v>
      </c>
      <c r="I22" t="s">
        <v>21</v>
      </c>
      <c r="J22" t="s">
        <v>22</v>
      </c>
      <c r="K22" t="s">
        <v>280</v>
      </c>
      <c r="N22" t="str">
        <f ca="1">IFERROR(_xludf.XLOOKUP($F22&amp;"."&amp;$G22,CaseSource!$A$2:$A$371,CaseSource!$B$2:$B$371,""),"")</f>
        <v/>
      </c>
    </row>
    <row r="23" spans="1:14" hidden="1" x14ac:dyDescent="0.2">
      <c r="A23" t="s">
        <v>277</v>
      </c>
      <c r="B23" t="s">
        <v>278</v>
      </c>
      <c r="C23" t="s">
        <v>279</v>
      </c>
      <c r="D23" t="s">
        <v>31</v>
      </c>
      <c r="F23" t="s">
        <v>44</v>
      </c>
      <c r="G23" t="s">
        <v>45</v>
      </c>
      <c r="H23">
        <v>2</v>
      </c>
      <c r="I23" t="s">
        <v>21</v>
      </c>
      <c r="J23" t="s">
        <v>22</v>
      </c>
      <c r="K23" t="s">
        <v>280</v>
      </c>
      <c r="N23" t="str">
        <f ca="1">IFERROR(_xludf.XLOOKUP($F23&amp;"."&amp;$G23,CaseSource!$A$2:$A$371,CaseSource!$B$2:$B$371,""),"")</f>
        <v/>
      </c>
    </row>
    <row r="24" spans="1:14" hidden="1" x14ac:dyDescent="0.2">
      <c r="A24" t="s">
        <v>281</v>
      </c>
      <c r="B24" t="s">
        <v>278</v>
      </c>
      <c r="C24" t="s">
        <v>80</v>
      </c>
      <c r="D24" t="s">
        <v>31</v>
      </c>
      <c r="F24" t="s">
        <v>282</v>
      </c>
      <c r="G24" t="s">
        <v>283</v>
      </c>
      <c r="H24">
        <v>1</v>
      </c>
      <c r="I24" t="s">
        <v>21</v>
      </c>
      <c r="J24" t="s">
        <v>22</v>
      </c>
      <c r="K24" t="s">
        <v>284</v>
      </c>
      <c r="N24" t="str">
        <f ca="1">IFERROR(_xludf.XLOOKUP($F24&amp;"."&amp;$G24,CaseSource!$A$2:$A$371,CaseSource!$B$2:$B$371,""),"")</f>
        <v/>
      </c>
    </row>
    <row r="25" spans="1:14" hidden="1" x14ac:dyDescent="0.2">
      <c r="A25" t="s">
        <v>281</v>
      </c>
      <c r="B25" t="s">
        <v>278</v>
      </c>
      <c r="C25" t="s">
        <v>80</v>
      </c>
      <c r="D25" t="s">
        <v>31</v>
      </c>
      <c r="F25" t="s">
        <v>44</v>
      </c>
      <c r="G25" t="s">
        <v>283</v>
      </c>
      <c r="H25">
        <v>2</v>
      </c>
      <c r="I25" t="s">
        <v>21</v>
      </c>
      <c r="J25" t="s">
        <v>22</v>
      </c>
      <c r="K25" t="s">
        <v>284</v>
      </c>
      <c r="N25" t="str">
        <f ca="1">IFERROR(_xludf.XLOOKUP($F25&amp;"."&amp;$G25,CaseSource!$A$2:$A$371,CaseSource!$B$2:$B$371,""),"")</f>
        <v/>
      </c>
    </row>
    <row r="26" spans="1:14" hidden="1" x14ac:dyDescent="0.2">
      <c r="A26" t="s">
        <v>285</v>
      </c>
      <c r="B26" t="s">
        <v>278</v>
      </c>
      <c r="C26" t="s">
        <v>279</v>
      </c>
      <c r="D26" t="s">
        <v>31</v>
      </c>
      <c r="F26" t="s">
        <v>282</v>
      </c>
      <c r="G26" t="s">
        <v>286</v>
      </c>
      <c r="H26">
        <v>1</v>
      </c>
      <c r="I26" t="s">
        <v>21</v>
      </c>
      <c r="J26" t="s">
        <v>22</v>
      </c>
      <c r="K26" t="s">
        <v>235</v>
      </c>
      <c r="N26" t="str">
        <f ca="1">IFERROR(_xludf.XLOOKUP($F26&amp;"."&amp;$G26,CaseSource!$A$2:$A$371,CaseSource!$B$2:$B$371,""),"")</f>
        <v/>
      </c>
    </row>
    <row r="27" spans="1:14" hidden="1" x14ac:dyDescent="0.2">
      <c r="A27" t="s">
        <v>285</v>
      </c>
      <c r="B27" t="s">
        <v>278</v>
      </c>
      <c r="C27" t="s">
        <v>279</v>
      </c>
      <c r="D27" t="s">
        <v>31</v>
      </c>
      <c r="F27" t="s">
        <v>44</v>
      </c>
      <c r="G27" t="s">
        <v>286</v>
      </c>
      <c r="H27">
        <v>2</v>
      </c>
      <c r="I27" t="s">
        <v>21</v>
      </c>
      <c r="J27" t="s">
        <v>22</v>
      </c>
      <c r="K27" t="s">
        <v>235</v>
      </c>
      <c r="N27" t="str">
        <f ca="1">IFERROR(_xludf.XLOOKUP($F27&amp;"."&amp;$G27,CaseSource!$A$2:$A$371,CaseSource!$B$2:$B$371,""),"")</f>
        <v/>
      </c>
    </row>
    <row r="28" spans="1:14" hidden="1" x14ac:dyDescent="0.2">
      <c r="A28" t="s">
        <v>287</v>
      </c>
      <c r="B28" t="s">
        <v>278</v>
      </c>
      <c r="C28" t="s">
        <v>279</v>
      </c>
      <c r="D28" t="s">
        <v>31</v>
      </c>
      <c r="F28" t="s">
        <v>282</v>
      </c>
      <c r="G28" t="s">
        <v>288</v>
      </c>
      <c r="H28">
        <v>1</v>
      </c>
      <c r="I28" t="s">
        <v>21</v>
      </c>
      <c r="J28" t="s">
        <v>22</v>
      </c>
      <c r="K28" t="s">
        <v>289</v>
      </c>
      <c r="N28" t="str">
        <f ca="1">IFERROR(_xludf.XLOOKUP($F28&amp;"."&amp;$G28,CaseSource!$A$2:$A$371,CaseSource!$B$2:$B$371,""),"")</f>
        <v/>
      </c>
    </row>
    <row r="29" spans="1:14" hidden="1" x14ac:dyDescent="0.2">
      <c r="A29" t="s">
        <v>290</v>
      </c>
      <c r="B29" t="s">
        <v>278</v>
      </c>
      <c r="C29" t="s">
        <v>279</v>
      </c>
      <c r="D29" t="s">
        <v>31</v>
      </c>
      <c r="F29" t="s">
        <v>282</v>
      </c>
      <c r="G29" t="s">
        <v>291</v>
      </c>
      <c r="H29">
        <v>1</v>
      </c>
      <c r="I29" t="s">
        <v>21</v>
      </c>
      <c r="J29" t="s">
        <v>22</v>
      </c>
      <c r="K29" t="s">
        <v>98</v>
      </c>
      <c r="N29" t="str">
        <f ca="1">IFERROR(_xludf.XLOOKUP($F29&amp;"."&amp;$G29,CaseSource!$A$2:$A$371,CaseSource!$B$2:$B$371,""),"")</f>
        <v/>
      </c>
    </row>
    <row r="30" spans="1:14" hidden="1" x14ac:dyDescent="0.2">
      <c r="A30" t="s">
        <v>292</v>
      </c>
      <c r="B30" t="s">
        <v>278</v>
      </c>
      <c r="C30" t="s">
        <v>279</v>
      </c>
      <c r="D30" t="s">
        <v>31</v>
      </c>
      <c r="F30" t="s">
        <v>282</v>
      </c>
      <c r="G30" t="s">
        <v>293</v>
      </c>
      <c r="H30">
        <v>1</v>
      </c>
      <c r="I30" t="s">
        <v>21</v>
      </c>
      <c r="J30" t="s">
        <v>22</v>
      </c>
      <c r="K30" t="s">
        <v>235</v>
      </c>
      <c r="N30" t="str">
        <f ca="1">IFERROR(_xludf.XLOOKUP($F30&amp;"."&amp;$G30,CaseSource!$A$2:$A$371,CaseSource!$B$2:$B$371,""),"")</f>
        <v/>
      </c>
    </row>
    <row r="31" spans="1:14" hidden="1" x14ac:dyDescent="0.2">
      <c r="A31" t="s">
        <v>294</v>
      </c>
      <c r="B31" t="s">
        <v>278</v>
      </c>
      <c r="C31" t="s">
        <v>80</v>
      </c>
      <c r="D31" t="s">
        <v>31</v>
      </c>
      <c r="F31" t="s">
        <v>282</v>
      </c>
      <c r="G31" t="s">
        <v>295</v>
      </c>
      <c r="H31">
        <v>1</v>
      </c>
      <c r="I31" t="s">
        <v>21</v>
      </c>
      <c r="J31" t="s">
        <v>22</v>
      </c>
      <c r="K31" t="s">
        <v>98</v>
      </c>
      <c r="N31" t="str">
        <f ca="1">IFERROR(_xludf.XLOOKUP($F31&amp;"."&amp;$G31,CaseSource!$A$2:$A$371,CaseSource!$B$2:$B$371,""),"")</f>
        <v/>
      </c>
    </row>
    <row r="32" spans="1:14" hidden="1" x14ac:dyDescent="0.2">
      <c r="A32" t="s">
        <v>294</v>
      </c>
      <c r="B32" t="s">
        <v>278</v>
      </c>
      <c r="C32" t="s">
        <v>80</v>
      </c>
      <c r="D32" t="s">
        <v>31</v>
      </c>
      <c r="F32" t="s">
        <v>19</v>
      </c>
      <c r="G32" t="s">
        <v>296</v>
      </c>
      <c r="H32">
        <v>2</v>
      </c>
      <c r="I32" t="s">
        <v>21</v>
      </c>
      <c r="J32" t="s">
        <v>22</v>
      </c>
      <c r="K32" t="s">
        <v>98</v>
      </c>
      <c r="N32" t="str">
        <f ca="1">IFERROR(_xludf.XLOOKUP($F32&amp;"."&amp;$G32,CaseSource!$A$2:$A$371,CaseSource!$B$2:$B$371,""),"")</f>
        <v/>
      </c>
    </row>
    <row r="33" spans="1:14" hidden="1" x14ac:dyDescent="0.2">
      <c r="A33" t="s">
        <v>294</v>
      </c>
      <c r="B33" t="s">
        <v>278</v>
      </c>
      <c r="C33" t="s">
        <v>80</v>
      </c>
      <c r="D33" t="s">
        <v>31</v>
      </c>
      <c r="F33" t="s">
        <v>44</v>
      </c>
      <c r="G33" t="s">
        <v>295</v>
      </c>
      <c r="H33">
        <v>3</v>
      </c>
      <c r="I33" t="s">
        <v>21</v>
      </c>
      <c r="J33" t="s">
        <v>22</v>
      </c>
      <c r="K33" t="s">
        <v>98</v>
      </c>
      <c r="N33" t="str">
        <f ca="1">IFERROR(_xludf.XLOOKUP($F33&amp;"."&amp;$G33,CaseSource!$A$2:$A$371,CaseSource!$B$2:$B$371,""),"")</f>
        <v/>
      </c>
    </row>
    <row r="34" spans="1:14" hidden="1" x14ac:dyDescent="0.2">
      <c r="A34" t="s">
        <v>297</v>
      </c>
      <c r="B34" t="s">
        <v>278</v>
      </c>
      <c r="C34" t="s">
        <v>80</v>
      </c>
      <c r="D34" t="s">
        <v>31</v>
      </c>
      <c r="F34" t="s">
        <v>282</v>
      </c>
      <c r="G34" t="s">
        <v>298</v>
      </c>
      <c r="H34">
        <v>1</v>
      </c>
      <c r="I34" t="s">
        <v>21</v>
      </c>
      <c r="J34" t="s">
        <v>22</v>
      </c>
      <c r="K34" t="s">
        <v>98</v>
      </c>
      <c r="N34" t="str">
        <f ca="1">IFERROR(_xludf.XLOOKUP($F34&amp;"."&amp;$G34,CaseSource!$A$2:$A$371,CaseSource!$B$2:$B$371,""),"")</f>
        <v/>
      </c>
    </row>
    <row r="35" spans="1:14" hidden="1" x14ac:dyDescent="0.2">
      <c r="A35" t="s">
        <v>297</v>
      </c>
      <c r="B35" t="s">
        <v>278</v>
      </c>
      <c r="C35" t="s">
        <v>80</v>
      </c>
      <c r="D35" t="s">
        <v>31</v>
      </c>
      <c r="F35" t="s">
        <v>44</v>
      </c>
      <c r="G35" t="s">
        <v>298</v>
      </c>
      <c r="H35">
        <v>2</v>
      </c>
      <c r="I35" t="s">
        <v>21</v>
      </c>
      <c r="J35" t="s">
        <v>22</v>
      </c>
      <c r="K35" t="s">
        <v>98</v>
      </c>
      <c r="N35" t="str">
        <f ca="1">IFERROR(_xludf.XLOOKUP($F35&amp;"."&amp;$G35,CaseSource!$A$2:$A$371,CaseSource!$B$2:$B$371,""),"")</f>
        <v/>
      </c>
    </row>
    <row r="36" spans="1:14" hidden="1" x14ac:dyDescent="0.2">
      <c r="A36" t="s">
        <v>299</v>
      </c>
      <c r="B36" t="s">
        <v>278</v>
      </c>
      <c r="C36" t="s">
        <v>80</v>
      </c>
      <c r="D36" t="s">
        <v>31</v>
      </c>
      <c r="F36" t="s">
        <v>282</v>
      </c>
      <c r="G36" t="s">
        <v>300</v>
      </c>
      <c r="H36">
        <v>1</v>
      </c>
      <c r="I36" t="s">
        <v>21</v>
      </c>
      <c r="J36" t="s">
        <v>22</v>
      </c>
      <c r="K36" t="s">
        <v>98</v>
      </c>
      <c r="N36" t="str">
        <f ca="1">IFERROR(_xludf.XLOOKUP($F36&amp;"."&amp;$G36,CaseSource!$A$2:$A$371,CaseSource!$B$2:$B$371,""),"")</f>
        <v/>
      </c>
    </row>
    <row r="37" spans="1:14" hidden="1" x14ac:dyDescent="0.2">
      <c r="A37" t="s">
        <v>299</v>
      </c>
      <c r="B37" t="s">
        <v>278</v>
      </c>
      <c r="C37" t="s">
        <v>80</v>
      </c>
      <c r="D37" t="s">
        <v>31</v>
      </c>
      <c r="F37" t="s">
        <v>44</v>
      </c>
      <c r="G37" t="s">
        <v>300</v>
      </c>
      <c r="H37">
        <v>2</v>
      </c>
      <c r="I37" t="s">
        <v>21</v>
      </c>
      <c r="J37" t="s">
        <v>22</v>
      </c>
      <c r="K37" t="s">
        <v>98</v>
      </c>
      <c r="N37" t="str">
        <f ca="1">IFERROR(_xludf.XLOOKUP($F37&amp;"."&amp;$G37,CaseSource!$A$2:$A$371,CaseSource!$B$2:$B$371,""),"")</f>
        <v/>
      </c>
    </row>
    <row r="38" spans="1:14" hidden="1" x14ac:dyDescent="0.2">
      <c r="A38" t="s">
        <v>301</v>
      </c>
      <c r="B38" t="s">
        <v>278</v>
      </c>
      <c r="C38" t="s">
        <v>279</v>
      </c>
      <c r="D38" t="s">
        <v>31</v>
      </c>
      <c r="F38" t="s">
        <v>282</v>
      </c>
      <c r="G38" t="s">
        <v>302</v>
      </c>
      <c r="H38">
        <v>1</v>
      </c>
      <c r="I38" t="s">
        <v>21</v>
      </c>
      <c r="J38" t="s">
        <v>22</v>
      </c>
      <c r="K38" t="s">
        <v>235</v>
      </c>
      <c r="N38" t="str">
        <f ca="1">IFERROR(_xludf.XLOOKUP($F38&amp;"."&amp;$G38,CaseSource!$A$2:$A$371,CaseSource!$B$2:$B$371,""),"")</f>
        <v/>
      </c>
    </row>
    <row r="39" spans="1:14" hidden="1" x14ac:dyDescent="0.2">
      <c r="A39" t="s">
        <v>301</v>
      </c>
      <c r="B39" t="s">
        <v>278</v>
      </c>
      <c r="C39" t="s">
        <v>279</v>
      </c>
      <c r="D39" t="s">
        <v>31</v>
      </c>
      <c r="F39" t="s">
        <v>44</v>
      </c>
      <c r="G39" t="s">
        <v>302</v>
      </c>
      <c r="H39">
        <v>2</v>
      </c>
      <c r="I39" t="s">
        <v>21</v>
      </c>
      <c r="J39" t="s">
        <v>22</v>
      </c>
      <c r="K39" t="s">
        <v>235</v>
      </c>
      <c r="N39" t="str">
        <f ca="1">IFERROR(_xludf.XLOOKUP($F39&amp;"."&amp;$G39,CaseSource!$A$2:$A$371,CaseSource!$B$2:$B$371,""),"")</f>
        <v/>
      </c>
    </row>
    <row r="40" spans="1:14" hidden="1" x14ac:dyDescent="0.2">
      <c r="A40" t="s">
        <v>303</v>
      </c>
      <c r="B40" t="s">
        <v>278</v>
      </c>
      <c r="C40" t="s">
        <v>279</v>
      </c>
      <c r="D40" t="s">
        <v>31</v>
      </c>
      <c r="F40" t="s">
        <v>282</v>
      </c>
      <c r="G40" t="s">
        <v>304</v>
      </c>
      <c r="H40">
        <v>1</v>
      </c>
      <c r="I40" t="s">
        <v>21</v>
      </c>
      <c r="J40" t="s">
        <v>22</v>
      </c>
      <c r="K40" t="s">
        <v>289</v>
      </c>
      <c r="N40" t="str">
        <f ca="1">IFERROR(_xludf.XLOOKUP($F40&amp;"."&amp;$G40,CaseSource!$A$2:$A$371,CaseSource!$B$2:$B$371,""),"")</f>
        <v/>
      </c>
    </row>
    <row r="41" spans="1:14" hidden="1" x14ac:dyDescent="0.2">
      <c r="A41" t="s">
        <v>305</v>
      </c>
      <c r="B41" t="s">
        <v>278</v>
      </c>
      <c r="C41" t="s">
        <v>279</v>
      </c>
      <c r="D41" t="s">
        <v>31</v>
      </c>
      <c r="F41" t="s">
        <v>282</v>
      </c>
      <c r="G41" t="s">
        <v>306</v>
      </c>
      <c r="H41">
        <v>1</v>
      </c>
      <c r="I41" t="s">
        <v>21</v>
      </c>
      <c r="J41" t="s">
        <v>22</v>
      </c>
      <c r="K41" t="s">
        <v>98</v>
      </c>
      <c r="N41" t="str">
        <f ca="1">IFERROR(_xludf.XLOOKUP($F41&amp;"."&amp;$G41,CaseSource!$A$2:$A$371,CaseSource!$B$2:$B$371,""),"")</f>
        <v/>
      </c>
    </row>
    <row r="42" spans="1:14" hidden="1" x14ac:dyDescent="0.2">
      <c r="A42" t="s">
        <v>307</v>
      </c>
      <c r="B42" t="s">
        <v>278</v>
      </c>
      <c r="C42" t="s">
        <v>80</v>
      </c>
      <c r="D42" t="s">
        <v>31</v>
      </c>
      <c r="F42" t="s">
        <v>282</v>
      </c>
      <c r="G42" t="s">
        <v>308</v>
      </c>
      <c r="H42">
        <v>1</v>
      </c>
      <c r="I42" t="s">
        <v>21</v>
      </c>
      <c r="J42" t="s">
        <v>22</v>
      </c>
      <c r="K42" t="s">
        <v>235</v>
      </c>
      <c r="N42" t="str">
        <f ca="1">IFERROR(_xludf.XLOOKUP($F42&amp;"."&amp;$G42,CaseSource!$A$2:$A$371,CaseSource!$B$2:$B$371,""),"")</f>
        <v/>
      </c>
    </row>
    <row r="43" spans="1:14" hidden="1" x14ac:dyDescent="0.2">
      <c r="A43" t="s">
        <v>453</v>
      </c>
      <c r="B43" t="s">
        <v>278</v>
      </c>
      <c r="C43" t="s">
        <v>279</v>
      </c>
      <c r="D43" t="s">
        <v>31</v>
      </c>
      <c r="H43">
        <v>1</v>
      </c>
      <c r="I43" t="s">
        <v>21</v>
      </c>
      <c r="J43" t="s">
        <v>22</v>
      </c>
      <c r="N43" t="str">
        <f ca="1">IFERROR(_xludf.XLOOKUP($F43&amp;"."&amp;$G43,CaseSource!$A$2:$A$371,CaseSource!$B$2:$B$371,""),"")</f>
        <v/>
      </c>
    </row>
    <row r="44" spans="1:14" hidden="1" x14ac:dyDescent="0.2">
      <c r="A44" t="s">
        <v>454</v>
      </c>
      <c r="B44" t="s">
        <v>278</v>
      </c>
      <c r="C44" t="s">
        <v>279</v>
      </c>
      <c r="D44" t="s">
        <v>31</v>
      </c>
      <c r="H44">
        <v>1</v>
      </c>
      <c r="I44" t="s">
        <v>21</v>
      </c>
      <c r="J44" t="s">
        <v>22</v>
      </c>
      <c r="N44" t="str">
        <f ca="1">IFERROR(_xludf.XLOOKUP($F44&amp;"."&amp;$G44,CaseSource!$A$2:$A$371,CaseSource!$B$2:$B$371,""),"")</f>
        <v/>
      </c>
    </row>
    <row r="45" spans="1:14" hidden="1" x14ac:dyDescent="0.2">
      <c r="A45" t="s">
        <v>455</v>
      </c>
      <c r="B45" t="s">
        <v>278</v>
      </c>
      <c r="C45" t="s">
        <v>279</v>
      </c>
      <c r="D45" t="s">
        <v>31</v>
      </c>
      <c r="H45">
        <v>1</v>
      </c>
      <c r="I45" t="s">
        <v>21</v>
      </c>
      <c r="J45" t="s">
        <v>22</v>
      </c>
      <c r="N45" t="str">
        <f ca="1">IFERROR(_xludf.XLOOKUP($F45&amp;"."&amp;$G45,CaseSource!$A$2:$A$371,CaseSource!$B$2:$B$371,""),"")</f>
        <v/>
      </c>
    </row>
    <row r="46" spans="1:14" hidden="1" x14ac:dyDescent="0.2">
      <c r="A46" t="s">
        <v>456</v>
      </c>
      <c r="B46" t="s">
        <v>278</v>
      </c>
      <c r="C46" t="s">
        <v>279</v>
      </c>
      <c r="D46" t="s">
        <v>31</v>
      </c>
      <c r="H46">
        <v>1</v>
      </c>
      <c r="I46" t="s">
        <v>21</v>
      </c>
      <c r="J46" t="s">
        <v>22</v>
      </c>
      <c r="N46" t="str">
        <f ca="1">IFERROR(_xludf.XLOOKUP($F46&amp;"."&amp;$G46,CaseSource!$A$2:$A$371,CaseSource!$B$2:$B$371,""),"")</f>
        <v/>
      </c>
    </row>
    <row r="47" spans="1:14" hidden="1" x14ac:dyDescent="0.2">
      <c r="A47" t="s">
        <v>457</v>
      </c>
      <c r="B47" t="s">
        <v>278</v>
      </c>
      <c r="C47" t="s">
        <v>279</v>
      </c>
      <c r="D47" t="s">
        <v>31</v>
      </c>
      <c r="H47">
        <v>1</v>
      </c>
      <c r="I47" t="s">
        <v>21</v>
      </c>
      <c r="J47" t="s">
        <v>22</v>
      </c>
      <c r="N47" t="str">
        <f ca="1">IFERROR(_xludf.XLOOKUP($F47&amp;"."&amp;$G47,CaseSource!$A$2:$A$371,CaseSource!$B$2:$B$371,""),"")</f>
        <v/>
      </c>
    </row>
    <row r="48" spans="1:14" hidden="1" x14ac:dyDescent="0.2">
      <c r="A48" t="s">
        <v>530</v>
      </c>
      <c r="B48" t="s">
        <v>278</v>
      </c>
      <c r="C48" t="s">
        <v>279</v>
      </c>
      <c r="D48" t="s">
        <v>31</v>
      </c>
      <c r="H48">
        <v>1</v>
      </c>
      <c r="I48" t="s">
        <v>21</v>
      </c>
      <c r="J48" t="s">
        <v>22</v>
      </c>
      <c r="N48" t="str">
        <f ca="1">IFERROR(_xludf.XLOOKUP($F48&amp;"."&amp;$G48,CaseSource!$A$2:$A$371,CaseSource!$B$2:$B$371,""),"")</f>
        <v/>
      </c>
    </row>
    <row r="49" spans="1:14" hidden="1" x14ac:dyDescent="0.2">
      <c r="A49" t="s">
        <v>531</v>
      </c>
      <c r="B49" t="s">
        <v>278</v>
      </c>
      <c r="C49" t="s">
        <v>279</v>
      </c>
      <c r="D49" t="s">
        <v>31</v>
      </c>
      <c r="H49">
        <v>1</v>
      </c>
      <c r="I49" t="s">
        <v>21</v>
      </c>
      <c r="J49" t="s">
        <v>22</v>
      </c>
      <c r="N49" t="str">
        <f ca="1">IFERROR(_xludf.XLOOKUP($F49&amp;"."&amp;$G49,CaseSource!$A$2:$A$371,CaseSource!$B$2:$B$371,""),"")</f>
        <v/>
      </c>
    </row>
    <row r="50" spans="1:14" hidden="1" x14ac:dyDescent="0.2">
      <c r="A50" t="s">
        <v>532</v>
      </c>
      <c r="B50" t="s">
        <v>278</v>
      </c>
      <c r="C50" t="s">
        <v>533</v>
      </c>
      <c r="D50" t="s">
        <v>31</v>
      </c>
      <c r="H50">
        <v>1</v>
      </c>
      <c r="I50" t="s">
        <v>21</v>
      </c>
      <c r="J50" t="s">
        <v>22</v>
      </c>
      <c r="N50" t="str">
        <f ca="1">IFERROR(_xludf.XLOOKUP($F50&amp;"."&amp;$G50,CaseSource!$A$2:$A$371,CaseSource!$B$2:$B$371,""),"")</f>
        <v/>
      </c>
    </row>
    <row r="51" spans="1:14" hidden="1" x14ac:dyDescent="0.2">
      <c r="A51" t="s">
        <v>534</v>
      </c>
      <c r="B51" t="s">
        <v>278</v>
      </c>
      <c r="C51" t="s">
        <v>533</v>
      </c>
      <c r="D51" t="s">
        <v>31</v>
      </c>
      <c r="H51">
        <v>1</v>
      </c>
      <c r="I51" t="s">
        <v>21</v>
      </c>
      <c r="J51" t="s">
        <v>22</v>
      </c>
      <c r="N51" t="str">
        <f ca="1">IFERROR(_xludf.XLOOKUP($F51&amp;"."&amp;$G51,CaseSource!$A$2:$A$371,CaseSource!$B$2:$B$371,""),"")</f>
        <v/>
      </c>
    </row>
    <row r="52" spans="1:14" hidden="1" x14ac:dyDescent="0.2">
      <c r="A52" t="s">
        <v>535</v>
      </c>
      <c r="B52" t="s">
        <v>278</v>
      </c>
      <c r="C52" t="s">
        <v>279</v>
      </c>
      <c r="D52" t="s">
        <v>31</v>
      </c>
      <c r="H52">
        <v>1</v>
      </c>
      <c r="I52" t="s">
        <v>21</v>
      </c>
      <c r="J52" t="s">
        <v>22</v>
      </c>
      <c r="N52" t="str">
        <f ca="1">IFERROR(_xludf.XLOOKUP($F52&amp;"."&amp;$G52,CaseSource!$A$2:$A$371,CaseSource!$B$2:$B$371,""),"")</f>
        <v/>
      </c>
    </row>
    <row r="53" spans="1:14" hidden="1" x14ac:dyDescent="0.2">
      <c r="A53" t="s">
        <v>536</v>
      </c>
      <c r="B53" t="s">
        <v>278</v>
      </c>
      <c r="C53" t="s">
        <v>533</v>
      </c>
      <c r="D53" t="s">
        <v>31</v>
      </c>
      <c r="H53">
        <v>1</v>
      </c>
      <c r="I53" t="s">
        <v>21</v>
      </c>
      <c r="J53" t="s">
        <v>22</v>
      </c>
      <c r="N53" t="str">
        <f ca="1">IFERROR(_xludf.XLOOKUP($F53&amp;"."&amp;$G53,CaseSource!$A$2:$A$371,CaseSource!$B$2:$B$371,""),"")</f>
        <v/>
      </c>
    </row>
    <row r="54" spans="1:14" hidden="1" x14ac:dyDescent="0.2">
      <c r="A54" t="s">
        <v>631</v>
      </c>
      <c r="B54" t="s">
        <v>278</v>
      </c>
      <c r="C54" t="s">
        <v>533</v>
      </c>
      <c r="D54" t="s">
        <v>31</v>
      </c>
      <c r="H54">
        <v>1</v>
      </c>
      <c r="I54" t="s">
        <v>21</v>
      </c>
      <c r="J54" t="s">
        <v>22</v>
      </c>
      <c r="N54" t="str">
        <f ca="1">IFERROR(_xludf.XLOOKUP($F54&amp;"."&amp;$G54,CaseSource!$A$2:$A$371,CaseSource!$B$2:$B$371,""),"")</f>
        <v/>
      </c>
    </row>
    <row r="55" spans="1:14" hidden="1" x14ac:dyDescent="0.2">
      <c r="A55" t="s">
        <v>78</v>
      </c>
      <c r="B55" t="s">
        <v>79</v>
      </c>
      <c r="C55" t="s">
        <v>80</v>
      </c>
      <c r="D55" t="s">
        <v>31</v>
      </c>
      <c r="F55" t="s">
        <v>24</v>
      </c>
      <c r="G55" t="s">
        <v>81</v>
      </c>
      <c r="H55">
        <v>1</v>
      </c>
      <c r="I55" t="s">
        <v>21</v>
      </c>
      <c r="J55" t="s">
        <v>22</v>
      </c>
      <c r="K55" t="s">
        <v>76</v>
      </c>
      <c r="N55" t="str">
        <f ca="1">IFERROR(_xludf.XLOOKUP($F55&amp;"."&amp;$G55,CaseSource!$A$2:$A$371,CaseSource!$B$2:$B$371,""),"")</f>
        <v/>
      </c>
    </row>
    <row r="56" spans="1:14" hidden="1" x14ac:dyDescent="0.2">
      <c r="A56" t="s">
        <v>357</v>
      </c>
      <c r="B56" t="s">
        <v>79</v>
      </c>
      <c r="C56" t="s">
        <v>80</v>
      </c>
      <c r="D56" t="s">
        <v>31</v>
      </c>
      <c r="H56">
        <v>1</v>
      </c>
      <c r="I56" t="s">
        <v>21</v>
      </c>
      <c r="J56" t="s">
        <v>22</v>
      </c>
      <c r="N56" t="str">
        <f ca="1">IFERROR(_xludf.XLOOKUP($F56&amp;"."&amp;$G56,CaseSource!$A$2:$A$371,CaseSource!$B$2:$B$371,""),"")</f>
        <v/>
      </c>
    </row>
    <row r="57" spans="1:14" hidden="1" x14ac:dyDescent="0.2">
      <c r="A57" t="s">
        <v>391</v>
      </c>
      <c r="B57" t="s">
        <v>79</v>
      </c>
      <c r="C57" t="s">
        <v>80</v>
      </c>
      <c r="D57" t="s">
        <v>31</v>
      </c>
      <c r="H57">
        <v>1</v>
      </c>
      <c r="I57" t="s">
        <v>21</v>
      </c>
      <c r="J57" t="s">
        <v>22</v>
      </c>
      <c r="N57" t="str">
        <f ca="1">IFERROR(_xludf.XLOOKUP($F57&amp;"."&amp;$G57,CaseSource!$A$2:$A$371,CaseSource!$B$2:$B$371,""),"")</f>
        <v/>
      </c>
    </row>
    <row r="58" spans="1:14" hidden="1" x14ac:dyDescent="0.2">
      <c r="A58" t="s">
        <v>418</v>
      </c>
      <c r="B58" t="s">
        <v>79</v>
      </c>
      <c r="C58" t="s">
        <v>80</v>
      </c>
      <c r="D58" t="s">
        <v>31</v>
      </c>
      <c r="H58">
        <v>1</v>
      </c>
      <c r="I58" t="s">
        <v>21</v>
      </c>
      <c r="J58" t="s">
        <v>22</v>
      </c>
      <c r="N58" t="str">
        <f ca="1">IFERROR(_xludf.XLOOKUP($F58&amp;"."&amp;$G58,CaseSource!$A$2:$A$371,CaseSource!$B$2:$B$371,""),"")</f>
        <v/>
      </c>
    </row>
    <row r="59" spans="1:14" hidden="1" x14ac:dyDescent="0.2">
      <c r="A59" t="s">
        <v>425</v>
      </c>
      <c r="B59" t="s">
        <v>79</v>
      </c>
      <c r="C59" t="s">
        <v>80</v>
      </c>
      <c r="D59" t="s">
        <v>31</v>
      </c>
      <c r="H59">
        <v>1</v>
      </c>
      <c r="I59" t="s">
        <v>21</v>
      </c>
      <c r="J59" t="s">
        <v>22</v>
      </c>
      <c r="N59" t="str">
        <f ca="1">IFERROR(_xludf.XLOOKUP($F59&amp;"."&amp;$G59,CaseSource!$A$2:$A$371,CaseSource!$B$2:$B$371,""),"")</f>
        <v/>
      </c>
    </row>
    <row r="60" spans="1:14" hidden="1" x14ac:dyDescent="0.2">
      <c r="A60" t="s">
        <v>434</v>
      </c>
      <c r="B60" t="s">
        <v>79</v>
      </c>
      <c r="C60" t="s">
        <v>16</v>
      </c>
      <c r="D60" t="s">
        <v>31</v>
      </c>
      <c r="H60">
        <v>1</v>
      </c>
      <c r="I60" t="s">
        <v>21</v>
      </c>
      <c r="J60" t="s">
        <v>22</v>
      </c>
      <c r="N60" t="str">
        <f ca="1">IFERROR(_xludf.XLOOKUP($F60&amp;"."&amp;$G60,CaseSource!$A$2:$A$371,CaseSource!$B$2:$B$371,""),"")</f>
        <v/>
      </c>
    </row>
    <row r="61" spans="1:14" hidden="1" x14ac:dyDescent="0.2">
      <c r="A61" t="s">
        <v>435</v>
      </c>
      <c r="B61" t="s">
        <v>79</v>
      </c>
      <c r="C61" t="s">
        <v>80</v>
      </c>
      <c r="D61" t="s">
        <v>31</v>
      </c>
      <c r="H61">
        <v>1</v>
      </c>
      <c r="I61" t="s">
        <v>21</v>
      </c>
      <c r="J61" t="s">
        <v>22</v>
      </c>
      <c r="N61" t="str">
        <f ca="1">IFERROR(_xludf.XLOOKUP($F61&amp;"."&amp;$G61,CaseSource!$A$2:$A$371,CaseSource!$B$2:$B$371,""),"")</f>
        <v/>
      </c>
    </row>
    <row r="62" spans="1:14" hidden="1" x14ac:dyDescent="0.2">
      <c r="A62" t="s">
        <v>436</v>
      </c>
      <c r="B62" t="s">
        <v>79</v>
      </c>
      <c r="C62" t="s">
        <v>80</v>
      </c>
      <c r="D62" t="s">
        <v>31</v>
      </c>
      <c r="H62">
        <v>1</v>
      </c>
      <c r="I62" t="s">
        <v>21</v>
      </c>
      <c r="J62" t="s">
        <v>22</v>
      </c>
      <c r="N62" t="str">
        <f ca="1">IFERROR(_xludf.XLOOKUP($F62&amp;"."&amp;$G62,CaseSource!$A$2:$A$371,CaseSource!$B$2:$B$371,""),"")</f>
        <v/>
      </c>
    </row>
    <row r="63" spans="1:14" hidden="1" x14ac:dyDescent="0.2">
      <c r="A63" t="s">
        <v>437</v>
      </c>
      <c r="B63" t="s">
        <v>79</v>
      </c>
      <c r="C63" t="s">
        <v>80</v>
      </c>
      <c r="D63" t="s">
        <v>31</v>
      </c>
      <c r="H63">
        <v>1</v>
      </c>
      <c r="I63" t="s">
        <v>21</v>
      </c>
      <c r="J63" t="s">
        <v>22</v>
      </c>
      <c r="N63" t="str">
        <f ca="1">IFERROR(_xludf.XLOOKUP($F63&amp;"."&amp;$G63,CaseSource!$A$2:$A$371,CaseSource!$B$2:$B$371,""),"")</f>
        <v/>
      </c>
    </row>
    <row r="64" spans="1:14" hidden="1" x14ac:dyDescent="0.2">
      <c r="A64" t="s">
        <v>441</v>
      </c>
      <c r="B64" t="s">
        <v>79</v>
      </c>
      <c r="C64" t="s">
        <v>80</v>
      </c>
      <c r="D64" t="s">
        <v>31</v>
      </c>
      <c r="H64">
        <v>1</v>
      </c>
      <c r="I64" t="s">
        <v>21</v>
      </c>
      <c r="J64" t="s">
        <v>22</v>
      </c>
      <c r="N64" t="str">
        <f ca="1">IFERROR(_xludf.XLOOKUP($F64&amp;"."&amp;$G64,CaseSource!$A$2:$A$371,CaseSource!$B$2:$B$371,""),"")</f>
        <v/>
      </c>
    </row>
    <row r="65" spans="1:14" hidden="1" x14ac:dyDescent="0.2">
      <c r="A65" t="s">
        <v>474</v>
      </c>
      <c r="B65" t="s">
        <v>79</v>
      </c>
      <c r="C65" t="s">
        <v>80</v>
      </c>
      <c r="D65" t="s">
        <v>31</v>
      </c>
      <c r="H65">
        <v>1</v>
      </c>
      <c r="I65" t="s">
        <v>21</v>
      </c>
      <c r="J65" t="s">
        <v>22</v>
      </c>
      <c r="N65" t="str">
        <f ca="1">IFERROR(_xludf.XLOOKUP($F65&amp;"."&amp;$G65,CaseSource!$A$2:$A$371,CaseSource!$B$2:$B$371,""),"")</f>
        <v/>
      </c>
    </row>
    <row r="66" spans="1:14" hidden="1" x14ac:dyDescent="0.2">
      <c r="A66" t="s">
        <v>512</v>
      </c>
      <c r="B66" t="s">
        <v>79</v>
      </c>
      <c r="C66" t="s">
        <v>80</v>
      </c>
      <c r="D66" t="s">
        <v>31</v>
      </c>
      <c r="H66">
        <v>1</v>
      </c>
      <c r="I66" t="s">
        <v>21</v>
      </c>
      <c r="J66" t="s">
        <v>22</v>
      </c>
      <c r="N66" t="str">
        <f ca="1">IFERROR(_xludf.XLOOKUP($F66&amp;"."&amp;$G66,CaseSource!$A$2:$A$371,CaseSource!$B$2:$B$371,""),"")</f>
        <v/>
      </c>
    </row>
    <row r="67" spans="1:14" hidden="1" x14ac:dyDescent="0.2">
      <c r="A67" t="s">
        <v>521</v>
      </c>
      <c r="B67" t="s">
        <v>79</v>
      </c>
      <c r="C67" t="s">
        <v>80</v>
      </c>
      <c r="D67" t="s">
        <v>31</v>
      </c>
      <c r="H67">
        <v>1</v>
      </c>
      <c r="I67" t="s">
        <v>21</v>
      </c>
      <c r="J67" t="s">
        <v>22</v>
      </c>
      <c r="N67" t="str">
        <f ca="1">IFERROR(_xludf.XLOOKUP($F67&amp;"."&amp;$G67,CaseSource!$A$2:$A$371,CaseSource!$B$2:$B$371,""),"")</f>
        <v/>
      </c>
    </row>
    <row r="68" spans="1:14" hidden="1" x14ac:dyDescent="0.2">
      <c r="A68" t="s">
        <v>550</v>
      </c>
      <c r="B68" t="s">
        <v>79</v>
      </c>
      <c r="C68" t="s">
        <v>80</v>
      </c>
      <c r="D68" t="s">
        <v>31</v>
      </c>
      <c r="H68">
        <v>1</v>
      </c>
      <c r="I68" t="s">
        <v>21</v>
      </c>
      <c r="J68" t="s">
        <v>22</v>
      </c>
      <c r="N68" t="str">
        <f ca="1">IFERROR(_xludf.XLOOKUP($F68&amp;"."&amp;$G68,CaseSource!$A$2:$A$371,CaseSource!$B$2:$B$371,""),"")</f>
        <v/>
      </c>
    </row>
    <row r="69" spans="1:14" hidden="1" x14ac:dyDescent="0.2">
      <c r="A69" t="s">
        <v>560</v>
      </c>
      <c r="B69" t="s">
        <v>79</v>
      </c>
      <c r="C69" t="s">
        <v>80</v>
      </c>
      <c r="D69" t="s">
        <v>31</v>
      </c>
      <c r="H69">
        <v>1</v>
      </c>
      <c r="I69" t="s">
        <v>21</v>
      </c>
      <c r="J69" t="s">
        <v>22</v>
      </c>
      <c r="N69" t="str">
        <f ca="1">IFERROR(_xludf.XLOOKUP($F69&amp;"."&amp;$G69,CaseSource!$A$2:$A$371,CaseSource!$B$2:$B$371,""),"")</f>
        <v/>
      </c>
    </row>
    <row r="70" spans="1:14" hidden="1" x14ac:dyDescent="0.2">
      <c r="A70" t="s">
        <v>624</v>
      </c>
      <c r="B70" t="s">
        <v>79</v>
      </c>
      <c r="C70" t="s">
        <v>80</v>
      </c>
      <c r="D70" t="s">
        <v>31</v>
      </c>
      <c r="H70">
        <v>1</v>
      </c>
      <c r="I70" t="s">
        <v>21</v>
      </c>
      <c r="J70" t="s">
        <v>22</v>
      </c>
      <c r="N70" t="str">
        <f ca="1">IFERROR(_xludf.XLOOKUP($F70&amp;"."&amp;$G70,CaseSource!$A$2:$A$371,CaseSource!$B$2:$B$371,""),"")</f>
        <v/>
      </c>
    </row>
    <row r="71" spans="1:14" hidden="1" x14ac:dyDescent="0.2">
      <c r="A71" t="s">
        <v>625</v>
      </c>
      <c r="B71" t="s">
        <v>79</v>
      </c>
      <c r="C71" t="s">
        <v>80</v>
      </c>
      <c r="D71" t="s">
        <v>31</v>
      </c>
      <c r="H71">
        <v>1</v>
      </c>
      <c r="I71" t="s">
        <v>21</v>
      </c>
      <c r="J71" t="s">
        <v>22</v>
      </c>
      <c r="N71" t="str">
        <f ca="1">IFERROR(_xludf.XLOOKUP($F71&amp;"."&amp;$G71,CaseSource!$A$2:$A$371,CaseSource!$B$2:$B$371,""),"")</f>
        <v/>
      </c>
    </row>
    <row r="72" spans="1:14" hidden="1" x14ac:dyDescent="0.2">
      <c r="A72" t="s">
        <v>629</v>
      </c>
      <c r="B72" t="s">
        <v>79</v>
      </c>
      <c r="C72" t="s">
        <v>80</v>
      </c>
      <c r="D72" t="s">
        <v>31</v>
      </c>
      <c r="H72">
        <v>1</v>
      </c>
      <c r="I72" t="s">
        <v>21</v>
      </c>
      <c r="J72" t="s">
        <v>22</v>
      </c>
      <c r="N72" t="str">
        <f ca="1">IFERROR(_xludf.XLOOKUP($F72&amp;"."&amp;$G72,CaseSource!$A$2:$A$371,CaseSource!$B$2:$B$371,""),"")</f>
        <v/>
      </c>
    </row>
    <row r="73" spans="1:14" hidden="1" x14ac:dyDescent="0.2">
      <c r="A73" t="s">
        <v>383</v>
      </c>
      <c r="B73" t="s">
        <v>384</v>
      </c>
      <c r="C73" t="s">
        <v>385</v>
      </c>
      <c r="D73" t="s">
        <v>31</v>
      </c>
      <c r="H73">
        <v>1</v>
      </c>
      <c r="I73" t="s">
        <v>21</v>
      </c>
      <c r="J73" t="s">
        <v>22</v>
      </c>
      <c r="N73" t="str">
        <f ca="1">IFERROR(_xludf.XLOOKUP($F73&amp;"."&amp;$G73,CaseSource!$A$2:$A$371,CaseSource!$B$2:$B$371,""),"")</f>
        <v/>
      </c>
    </row>
    <row r="74" spans="1:14" hidden="1" x14ac:dyDescent="0.2">
      <c r="A74" t="s">
        <v>386</v>
      </c>
      <c r="B74" t="s">
        <v>384</v>
      </c>
      <c r="C74" t="s">
        <v>385</v>
      </c>
      <c r="D74" t="s">
        <v>31</v>
      </c>
      <c r="H74">
        <v>1</v>
      </c>
      <c r="I74" t="s">
        <v>21</v>
      </c>
      <c r="J74" t="s">
        <v>22</v>
      </c>
      <c r="N74" t="str">
        <f ca="1">IFERROR(_xludf.XLOOKUP($F74&amp;"."&amp;$G74,CaseSource!$A$2:$A$371,CaseSource!$B$2:$B$371,""),"")</f>
        <v/>
      </c>
    </row>
    <row r="75" spans="1:14" hidden="1" x14ac:dyDescent="0.2">
      <c r="A75" t="s">
        <v>387</v>
      </c>
      <c r="B75" t="s">
        <v>384</v>
      </c>
      <c r="C75" t="s">
        <v>388</v>
      </c>
      <c r="D75" t="s">
        <v>31</v>
      </c>
      <c r="H75">
        <v>1</v>
      </c>
      <c r="I75" t="s">
        <v>21</v>
      </c>
      <c r="J75" t="s">
        <v>22</v>
      </c>
      <c r="N75" t="str">
        <f ca="1">IFERROR(_xludf.XLOOKUP($F75&amp;"."&amp;$G75,CaseSource!$A$2:$A$371,CaseSource!$B$2:$B$371,""),"")</f>
        <v/>
      </c>
    </row>
    <row r="76" spans="1:14" hidden="1" x14ac:dyDescent="0.2">
      <c r="A76" t="s">
        <v>389</v>
      </c>
      <c r="B76" t="s">
        <v>384</v>
      </c>
      <c r="C76" t="s">
        <v>388</v>
      </c>
      <c r="D76" t="s">
        <v>31</v>
      </c>
      <c r="H76">
        <v>1</v>
      </c>
      <c r="I76" t="s">
        <v>21</v>
      </c>
      <c r="J76" t="s">
        <v>22</v>
      </c>
      <c r="N76" t="str">
        <f ca="1">IFERROR(_xludf.XLOOKUP($F76&amp;"."&amp;$G76,CaseSource!$A$2:$A$371,CaseSource!$B$2:$B$371,""),"")</f>
        <v/>
      </c>
    </row>
    <row r="77" spans="1:14" hidden="1" x14ac:dyDescent="0.2">
      <c r="A77" t="s">
        <v>390</v>
      </c>
      <c r="B77" t="s">
        <v>384</v>
      </c>
      <c r="C77" t="s">
        <v>388</v>
      </c>
      <c r="D77" t="s">
        <v>31</v>
      </c>
      <c r="H77">
        <v>1</v>
      </c>
      <c r="I77" t="s">
        <v>21</v>
      </c>
      <c r="J77" t="s">
        <v>22</v>
      </c>
      <c r="N77" t="str">
        <f ca="1">IFERROR(_xludf.XLOOKUP($F77&amp;"."&amp;$G77,CaseSource!$A$2:$A$371,CaseSource!$B$2:$B$371,""),"")</f>
        <v/>
      </c>
    </row>
    <row r="78" spans="1:14" hidden="1" x14ac:dyDescent="0.2">
      <c r="A78" t="s">
        <v>426</v>
      </c>
      <c r="B78" t="s">
        <v>384</v>
      </c>
      <c r="C78" t="s">
        <v>388</v>
      </c>
      <c r="D78" t="s">
        <v>31</v>
      </c>
      <c r="H78">
        <v>1</v>
      </c>
      <c r="I78" t="s">
        <v>21</v>
      </c>
      <c r="J78" t="s">
        <v>22</v>
      </c>
      <c r="N78" t="str">
        <f ca="1">IFERROR(_xludf.XLOOKUP($F78&amp;"."&amp;$G78,CaseSource!$A$2:$A$371,CaseSource!$B$2:$B$371,""),"")</f>
        <v/>
      </c>
    </row>
    <row r="79" spans="1:14" hidden="1" x14ac:dyDescent="0.2">
      <c r="A79" t="s">
        <v>427</v>
      </c>
      <c r="B79" t="s">
        <v>384</v>
      </c>
      <c r="C79" t="s">
        <v>388</v>
      </c>
      <c r="D79" t="s">
        <v>31</v>
      </c>
      <c r="H79">
        <v>1</v>
      </c>
      <c r="I79" t="s">
        <v>21</v>
      </c>
      <c r="J79" t="s">
        <v>22</v>
      </c>
      <c r="N79" t="str">
        <f ca="1">IFERROR(_xludf.XLOOKUP($F79&amp;"."&amp;$G79,CaseSource!$A$2:$A$371,CaseSource!$B$2:$B$371,""),"")</f>
        <v/>
      </c>
    </row>
    <row r="80" spans="1:14" hidden="1" x14ac:dyDescent="0.2">
      <c r="A80" t="s">
        <v>428</v>
      </c>
      <c r="B80" t="s">
        <v>384</v>
      </c>
      <c r="C80" t="s">
        <v>388</v>
      </c>
      <c r="D80" t="s">
        <v>31</v>
      </c>
      <c r="H80">
        <v>1</v>
      </c>
      <c r="I80" t="s">
        <v>21</v>
      </c>
      <c r="J80" t="s">
        <v>22</v>
      </c>
      <c r="N80" t="str">
        <f ca="1">IFERROR(_xludf.XLOOKUP($F80&amp;"."&amp;$G80,CaseSource!$A$2:$A$371,CaseSource!$B$2:$B$371,""),"")</f>
        <v/>
      </c>
    </row>
    <row r="81" spans="1:14" hidden="1" x14ac:dyDescent="0.2">
      <c r="A81" t="s">
        <v>469</v>
      </c>
      <c r="B81" t="s">
        <v>384</v>
      </c>
      <c r="C81" t="s">
        <v>310</v>
      </c>
      <c r="D81" t="s">
        <v>31</v>
      </c>
      <c r="H81">
        <v>1</v>
      </c>
      <c r="I81" t="s">
        <v>21</v>
      </c>
      <c r="J81" t="s">
        <v>22</v>
      </c>
      <c r="N81" t="str">
        <f ca="1">IFERROR(_xludf.XLOOKUP($F81&amp;"."&amp;$G81,CaseSource!$A$2:$A$371,CaseSource!$B$2:$B$371,""),"")</f>
        <v/>
      </c>
    </row>
    <row r="82" spans="1:14" hidden="1" x14ac:dyDescent="0.2">
      <c r="A82" t="s">
        <v>546</v>
      </c>
      <c r="B82" t="s">
        <v>384</v>
      </c>
      <c r="C82" t="s">
        <v>310</v>
      </c>
      <c r="D82" t="s">
        <v>31</v>
      </c>
      <c r="H82">
        <v>1</v>
      </c>
      <c r="I82" t="s">
        <v>21</v>
      </c>
      <c r="J82" t="s">
        <v>22</v>
      </c>
      <c r="N82" t="str">
        <f ca="1">IFERROR(_xludf.XLOOKUP($F82&amp;"."&amp;$G82,CaseSource!$A$2:$A$371,CaseSource!$B$2:$B$371,""),"")</f>
        <v/>
      </c>
    </row>
    <row r="83" spans="1:14" hidden="1" x14ac:dyDescent="0.2">
      <c r="A83" t="s">
        <v>547</v>
      </c>
      <c r="B83" t="s">
        <v>384</v>
      </c>
      <c r="C83" t="s">
        <v>310</v>
      </c>
      <c r="D83" t="s">
        <v>31</v>
      </c>
      <c r="H83">
        <v>1</v>
      </c>
      <c r="I83" t="s">
        <v>21</v>
      </c>
      <c r="J83" t="s">
        <v>22</v>
      </c>
      <c r="N83" t="str">
        <f ca="1">IFERROR(_xludf.XLOOKUP($F83&amp;"."&amp;$G83,CaseSource!$A$2:$A$371,CaseSource!$B$2:$B$371,""),"")</f>
        <v/>
      </c>
    </row>
    <row r="84" spans="1:14" hidden="1" x14ac:dyDescent="0.2">
      <c r="A84" t="s">
        <v>563</v>
      </c>
      <c r="B84" t="s">
        <v>384</v>
      </c>
      <c r="C84" t="s">
        <v>564</v>
      </c>
      <c r="D84" t="s">
        <v>31</v>
      </c>
      <c r="H84">
        <v>1</v>
      </c>
      <c r="I84" t="s">
        <v>21</v>
      </c>
      <c r="J84" t="s">
        <v>22</v>
      </c>
      <c r="N84" t="str">
        <f ca="1">IFERROR(_xludf.XLOOKUP($F84&amp;"."&amp;$G84,CaseSource!$A$2:$A$371,CaseSource!$B$2:$B$371,""),"")</f>
        <v/>
      </c>
    </row>
    <row r="85" spans="1:14" hidden="1" x14ac:dyDescent="0.2">
      <c r="A85" t="s">
        <v>567</v>
      </c>
      <c r="B85" t="s">
        <v>384</v>
      </c>
      <c r="C85" t="s">
        <v>388</v>
      </c>
      <c r="D85" t="s">
        <v>31</v>
      </c>
      <c r="H85">
        <v>1</v>
      </c>
      <c r="I85" t="s">
        <v>21</v>
      </c>
      <c r="J85" t="s">
        <v>22</v>
      </c>
      <c r="N85" t="str">
        <f ca="1">IFERROR(_xludf.XLOOKUP($F85&amp;"."&amp;$G85,CaseSource!$A$2:$A$371,CaseSource!$B$2:$B$371,""),"")</f>
        <v/>
      </c>
    </row>
    <row r="86" spans="1:14" hidden="1" x14ac:dyDescent="0.2">
      <c r="A86" t="s">
        <v>568</v>
      </c>
      <c r="B86" t="s">
        <v>384</v>
      </c>
      <c r="C86" t="s">
        <v>388</v>
      </c>
      <c r="D86" t="s">
        <v>31</v>
      </c>
      <c r="H86">
        <v>1</v>
      </c>
      <c r="I86" t="s">
        <v>21</v>
      </c>
      <c r="J86" t="s">
        <v>22</v>
      </c>
      <c r="N86" t="str">
        <f ca="1">IFERROR(_xludf.XLOOKUP($F86&amp;"."&amp;$G86,CaseSource!$A$2:$A$371,CaseSource!$B$2:$B$371,""),"")</f>
        <v/>
      </c>
    </row>
    <row r="87" spans="1:14" hidden="1" x14ac:dyDescent="0.2">
      <c r="A87" t="s">
        <v>569</v>
      </c>
      <c r="B87" t="s">
        <v>384</v>
      </c>
      <c r="C87" t="s">
        <v>388</v>
      </c>
      <c r="D87" t="s">
        <v>31</v>
      </c>
      <c r="H87">
        <v>1</v>
      </c>
      <c r="I87" t="s">
        <v>21</v>
      </c>
      <c r="J87" t="s">
        <v>22</v>
      </c>
      <c r="N87" t="str">
        <f ca="1">IFERROR(_xludf.XLOOKUP($F87&amp;"."&amp;$G87,CaseSource!$A$2:$A$371,CaseSource!$B$2:$B$371,""),"")</f>
        <v/>
      </c>
    </row>
    <row r="88" spans="1:14" hidden="1" x14ac:dyDescent="0.2">
      <c r="A88" t="s">
        <v>595</v>
      </c>
      <c r="B88" t="s">
        <v>384</v>
      </c>
      <c r="C88" t="s">
        <v>388</v>
      </c>
      <c r="D88" t="s">
        <v>31</v>
      </c>
      <c r="H88">
        <v>1</v>
      </c>
      <c r="I88" t="s">
        <v>21</v>
      </c>
      <c r="J88" t="s">
        <v>22</v>
      </c>
      <c r="N88" t="str">
        <f ca="1">IFERROR(_xludf.XLOOKUP($F88&amp;"."&amp;$G88,CaseSource!$A$2:$A$371,CaseSource!$B$2:$B$371,""),"")</f>
        <v/>
      </c>
    </row>
    <row r="89" spans="1:14" hidden="1" x14ac:dyDescent="0.2">
      <c r="A89" t="s">
        <v>619</v>
      </c>
      <c r="B89" t="s">
        <v>384</v>
      </c>
      <c r="C89" t="s">
        <v>388</v>
      </c>
      <c r="D89" t="s">
        <v>31</v>
      </c>
      <c r="H89">
        <v>1</v>
      </c>
      <c r="I89" t="s">
        <v>21</v>
      </c>
      <c r="J89" t="s">
        <v>22</v>
      </c>
      <c r="N89" t="str">
        <f ca="1">IFERROR(_xludf.XLOOKUP($F89&amp;"."&amp;$G89,CaseSource!$A$2:$A$371,CaseSource!$B$2:$B$371,""),"")</f>
        <v/>
      </c>
    </row>
    <row r="90" spans="1:14" hidden="1" x14ac:dyDescent="0.2">
      <c r="A90" t="s">
        <v>129</v>
      </c>
      <c r="B90" t="s">
        <v>130</v>
      </c>
      <c r="C90" t="s">
        <v>131</v>
      </c>
      <c r="D90" t="s">
        <v>31</v>
      </c>
      <c r="F90" t="s">
        <v>19</v>
      </c>
      <c r="G90" t="s">
        <v>132</v>
      </c>
      <c r="H90">
        <v>1</v>
      </c>
      <c r="I90" t="s">
        <v>21</v>
      </c>
      <c r="J90" t="s">
        <v>22</v>
      </c>
      <c r="K90" t="s">
        <v>133</v>
      </c>
      <c r="N90" t="str">
        <f ca="1">IFERROR(_xludf.XLOOKUP($F90&amp;"."&amp;$G90,CaseSource!$A$2:$A$371,CaseSource!$B$2:$B$371,""),"")</f>
        <v/>
      </c>
    </row>
    <row r="91" spans="1:14" hidden="1" x14ac:dyDescent="0.2">
      <c r="A91" t="s">
        <v>254</v>
      </c>
      <c r="B91" t="s">
        <v>130</v>
      </c>
      <c r="C91" t="s">
        <v>16</v>
      </c>
      <c r="D91" t="s">
        <v>31</v>
      </c>
      <c r="F91" t="s">
        <v>19</v>
      </c>
      <c r="G91" t="s">
        <v>255</v>
      </c>
      <c r="H91">
        <v>1</v>
      </c>
      <c r="I91" t="s">
        <v>21</v>
      </c>
      <c r="J91" t="s">
        <v>22</v>
      </c>
      <c r="K91" t="s">
        <v>235</v>
      </c>
      <c r="N91" t="str">
        <f ca="1">IFERROR(_xludf.XLOOKUP($F91&amp;"."&amp;$G91,CaseSource!$A$2:$A$371,CaseSource!$B$2:$B$371,""),"")</f>
        <v/>
      </c>
    </row>
    <row r="92" spans="1:14" hidden="1" x14ac:dyDescent="0.2">
      <c r="A92" t="s">
        <v>256</v>
      </c>
      <c r="B92" t="s">
        <v>130</v>
      </c>
      <c r="C92" t="s">
        <v>16</v>
      </c>
      <c r="D92" t="s">
        <v>31</v>
      </c>
      <c r="F92" t="s">
        <v>19</v>
      </c>
      <c r="G92" t="s">
        <v>257</v>
      </c>
      <c r="H92">
        <v>1</v>
      </c>
      <c r="I92" t="s">
        <v>21</v>
      </c>
      <c r="J92" t="s">
        <v>22</v>
      </c>
      <c r="K92" t="s">
        <v>126</v>
      </c>
      <c r="N92" t="str">
        <f ca="1">IFERROR(_xludf.XLOOKUP($F92&amp;"."&amp;$G92,CaseSource!$A$2:$A$371,CaseSource!$B$2:$B$371,""),"")</f>
        <v/>
      </c>
    </row>
    <row r="93" spans="1:14" hidden="1" x14ac:dyDescent="0.2">
      <c r="A93" t="s">
        <v>261</v>
      </c>
      <c r="B93" t="s">
        <v>130</v>
      </c>
      <c r="C93" t="s">
        <v>262</v>
      </c>
      <c r="D93" t="s">
        <v>31</v>
      </c>
      <c r="F93" t="s">
        <v>19</v>
      </c>
      <c r="G93" t="s">
        <v>263</v>
      </c>
      <c r="H93">
        <v>1</v>
      </c>
      <c r="I93" t="s">
        <v>21</v>
      </c>
      <c r="J93" t="s">
        <v>22</v>
      </c>
      <c r="K93" t="s">
        <v>264</v>
      </c>
      <c r="N93" t="str">
        <f ca="1">IFERROR(_xludf.XLOOKUP($F93&amp;"."&amp;$G93,CaseSource!$A$2:$A$371,CaseSource!$B$2:$B$371,""),"")</f>
        <v/>
      </c>
    </row>
    <row r="94" spans="1:14" hidden="1" x14ac:dyDescent="0.2">
      <c r="A94" t="s">
        <v>265</v>
      </c>
      <c r="B94" t="s">
        <v>130</v>
      </c>
      <c r="C94" t="s">
        <v>266</v>
      </c>
      <c r="D94" t="s">
        <v>31</v>
      </c>
      <c r="F94" t="s">
        <v>19</v>
      </c>
      <c r="G94" t="s">
        <v>267</v>
      </c>
      <c r="H94">
        <v>1</v>
      </c>
      <c r="I94" t="s">
        <v>21</v>
      </c>
      <c r="J94" t="s">
        <v>22</v>
      </c>
      <c r="K94" t="s">
        <v>126</v>
      </c>
      <c r="N94" t="str">
        <f ca="1">IFERROR(_xludf.XLOOKUP($F94&amp;"."&amp;$G94,CaseSource!$A$2:$A$371,CaseSource!$B$2:$B$371,""),"")</f>
        <v/>
      </c>
    </row>
    <row r="95" spans="1:14" hidden="1" x14ac:dyDescent="0.2">
      <c r="A95" t="s">
        <v>268</v>
      </c>
      <c r="B95" t="s">
        <v>130</v>
      </c>
      <c r="C95" t="s">
        <v>266</v>
      </c>
      <c r="D95" t="s">
        <v>31</v>
      </c>
      <c r="F95" t="s">
        <v>19</v>
      </c>
      <c r="G95" t="s">
        <v>269</v>
      </c>
      <c r="H95">
        <v>1</v>
      </c>
      <c r="I95" t="s">
        <v>21</v>
      </c>
      <c r="J95" t="s">
        <v>22</v>
      </c>
      <c r="K95" t="s">
        <v>126</v>
      </c>
      <c r="N95" t="str">
        <f ca="1">IFERROR(_xludf.XLOOKUP($F95&amp;"."&amp;$G95,CaseSource!$A$2:$A$371,CaseSource!$B$2:$B$371,""),"")</f>
        <v/>
      </c>
    </row>
    <row r="96" spans="1:14" hidden="1" x14ac:dyDescent="0.2">
      <c r="A96" t="s">
        <v>270</v>
      </c>
      <c r="B96" t="s">
        <v>130</v>
      </c>
      <c r="C96" t="s">
        <v>146</v>
      </c>
      <c r="D96" t="s">
        <v>31</v>
      </c>
      <c r="F96" t="s">
        <v>224</v>
      </c>
      <c r="G96" t="s">
        <v>236</v>
      </c>
      <c r="H96">
        <v>1</v>
      </c>
      <c r="I96" t="s">
        <v>21</v>
      </c>
      <c r="J96" t="s">
        <v>22</v>
      </c>
      <c r="K96" t="s">
        <v>235</v>
      </c>
      <c r="N96" t="str">
        <f ca="1">IFERROR(_xludf.XLOOKUP($F96&amp;"."&amp;$G96,CaseSource!$A$2:$A$371,CaseSource!$B$2:$B$371,""),"")</f>
        <v/>
      </c>
    </row>
    <row r="97" spans="1:14" hidden="1" x14ac:dyDescent="0.2">
      <c r="A97" t="s">
        <v>270</v>
      </c>
      <c r="B97" t="s">
        <v>130</v>
      </c>
      <c r="C97" t="s">
        <v>146</v>
      </c>
      <c r="D97" t="s">
        <v>31</v>
      </c>
      <c r="F97" t="s">
        <v>19</v>
      </c>
      <c r="G97" t="s">
        <v>46</v>
      </c>
      <c r="H97">
        <v>2</v>
      </c>
      <c r="I97" t="s">
        <v>21</v>
      </c>
      <c r="J97" t="s">
        <v>22</v>
      </c>
      <c r="K97" t="s">
        <v>235</v>
      </c>
      <c r="N97" t="str">
        <f ca="1">IFERROR(_xludf.XLOOKUP($F97&amp;"."&amp;$G97,CaseSource!$A$2:$A$371,CaseSource!$B$2:$B$371,""),"")</f>
        <v/>
      </c>
    </row>
    <row r="98" spans="1:14" hidden="1" x14ac:dyDescent="0.2">
      <c r="A98" t="s">
        <v>271</v>
      </c>
      <c r="B98" t="s">
        <v>130</v>
      </c>
      <c r="C98" t="s">
        <v>146</v>
      </c>
      <c r="D98" t="s">
        <v>31</v>
      </c>
      <c r="F98" t="s">
        <v>224</v>
      </c>
      <c r="G98" t="s">
        <v>241</v>
      </c>
      <c r="H98">
        <v>1</v>
      </c>
      <c r="I98" t="s">
        <v>21</v>
      </c>
      <c r="J98" t="s">
        <v>22</v>
      </c>
      <c r="K98" t="s">
        <v>272</v>
      </c>
      <c r="N98" t="str">
        <f ca="1">IFERROR(_xludf.XLOOKUP($F98&amp;"."&amp;$G98,CaseSource!$A$2:$A$371,CaseSource!$B$2:$B$371,""),"")</f>
        <v/>
      </c>
    </row>
    <row r="99" spans="1:14" hidden="1" x14ac:dyDescent="0.2">
      <c r="A99" t="s">
        <v>271</v>
      </c>
      <c r="B99" t="s">
        <v>130</v>
      </c>
      <c r="C99" t="s">
        <v>146</v>
      </c>
      <c r="D99" t="s">
        <v>31</v>
      </c>
      <c r="F99" t="s">
        <v>19</v>
      </c>
      <c r="G99" t="s">
        <v>273</v>
      </c>
      <c r="H99">
        <v>2</v>
      </c>
      <c r="I99" t="s">
        <v>21</v>
      </c>
      <c r="J99" t="s">
        <v>22</v>
      </c>
      <c r="K99" t="s">
        <v>272</v>
      </c>
      <c r="N99" t="str">
        <f ca="1">IFERROR(_xludf.XLOOKUP($F99&amp;"."&amp;$G99,CaseSource!$A$2:$A$371,CaseSource!$B$2:$B$371,""),"")</f>
        <v/>
      </c>
    </row>
    <row r="100" spans="1:14" hidden="1" x14ac:dyDescent="0.2">
      <c r="A100" t="s">
        <v>274</v>
      </c>
      <c r="B100" t="s">
        <v>130</v>
      </c>
      <c r="C100" t="s">
        <v>146</v>
      </c>
      <c r="D100" t="s">
        <v>31</v>
      </c>
      <c r="F100" t="s">
        <v>224</v>
      </c>
      <c r="G100" t="s">
        <v>275</v>
      </c>
      <c r="H100">
        <v>1</v>
      </c>
      <c r="I100" t="s">
        <v>21</v>
      </c>
      <c r="J100" t="s">
        <v>22</v>
      </c>
      <c r="K100" t="s">
        <v>98</v>
      </c>
      <c r="N100" t="str">
        <f ca="1">IFERROR(_xludf.XLOOKUP($F100&amp;"."&amp;$G100,CaseSource!$A$2:$A$371,CaseSource!$B$2:$B$371,""),"")</f>
        <v/>
      </c>
    </row>
    <row r="101" spans="1:14" hidden="1" x14ac:dyDescent="0.2">
      <c r="A101" t="s">
        <v>274</v>
      </c>
      <c r="B101" t="s">
        <v>130</v>
      </c>
      <c r="C101" t="s">
        <v>146</v>
      </c>
      <c r="D101" t="s">
        <v>31</v>
      </c>
      <c r="F101" t="s">
        <v>19</v>
      </c>
      <c r="G101" t="s">
        <v>276</v>
      </c>
      <c r="H101">
        <v>2</v>
      </c>
      <c r="I101" t="s">
        <v>21</v>
      </c>
      <c r="J101" t="s">
        <v>22</v>
      </c>
      <c r="K101" t="s">
        <v>98</v>
      </c>
      <c r="N101" t="str">
        <f ca="1">IFERROR(_xludf.XLOOKUP($F101&amp;"."&amp;$G101,CaseSource!$A$2:$A$371,CaseSource!$B$2:$B$371,""),"")</f>
        <v/>
      </c>
    </row>
    <row r="102" spans="1:14" hidden="1" x14ac:dyDescent="0.2">
      <c r="A102" t="s">
        <v>345</v>
      </c>
      <c r="B102" t="s">
        <v>130</v>
      </c>
      <c r="C102" t="s">
        <v>346</v>
      </c>
      <c r="D102" t="s">
        <v>31</v>
      </c>
      <c r="F102" t="s">
        <v>347</v>
      </c>
      <c r="G102" t="s">
        <v>348</v>
      </c>
      <c r="H102">
        <v>1</v>
      </c>
      <c r="I102" t="s">
        <v>21</v>
      </c>
      <c r="J102" t="s">
        <v>22</v>
      </c>
      <c r="K102" t="s">
        <v>349</v>
      </c>
      <c r="N102" t="str">
        <f ca="1">IFERROR(_xludf.XLOOKUP($F102&amp;"."&amp;$G102,CaseSource!$A$2:$A$371,CaseSource!$B$2:$B$371,""),"")</f>
        <v/>
      </c>
    </row>
    <row r="103" spans="1:14" hidden="1" x14ac:dyDescent="0.2">
      <c r="A103" t="s">
        <v>350</v>
      </c>
      <c r="B103" t="s">
        <v>130</v>
      </c>
      <c r="C103" t="s">
        <v>346</v>
      </c>
      <c r="D103" t="s">
        <v>31</v>
      </c>
      <c r="F103" t="s">
        <v>347</v>
      </c>
      <c r="G103" t="s">
        <v>351</v>
      </c>
      <c r="H103">
        <v>1</v>
      </c>
      <c r="I103" t="s">
        <v>21</v>
      </c>
      <c r="J103" t="s">
        <v>22</v>
      </c>
      <c r="K103" t="s">
        <v>98</v>
      </c>
      <c r="N103" t="str">
        <f ca="1">IFERROR(_xludf.XLOOKUP($F103&amp;"."&amp;$G103,CaseSource!$A$2:$A$371,CaseSource!$B$2:$B$371,""),"")</f>
        <v/>
      </c>
    </row>
    <row r="104" spans="1:14" hidden="1" x14ac:dyDescent="0.2">
      <c r="A104" t="s">
        <v>352</v>
      </c>
      <c r="B104" t="s">
        <v>130</v>
      </c>
      <c r="C104" t="s">
        <v>346</v>
      </c>
      <c r="D104" t="s">
        <v>31</v>
      </c>
      <c r="F104" t="s">
        <v>347</v>
      </c>
      <c r="G104" t="s">
        <v>353</v>
      </c>
      <c r="H104">
        <v>1</v>
      </c>
      <c r="I104" t="s">
        <v>21</v>
      </c>
      <c r="J104" t="s">
        <v>22</v>
      </c>
      <c r="K104" t="s">
        <v>354</v>
      </c>
      <c r="N104" t="str">
        <f ca="1">IFERROR(_xludf.XLOOKUP($F104&amp;"."&amp;$G104,CaseSource!$A$2:$A$371,CaseSource!$B$2:$B$371,""),"")</f>
        <v/>
      </c>
    </row>
    <row r="105" spans="1:14" hidden="1" x14ac:dyDescent="0.2">
      <c r="A105" t="s">
        <v>355</v>
      </c>
      <c r="B105" t="s">
        <v>130</v>
      </c>
      <c r="C105" t="s">
        <v>356</v>
      </c>
      <c r="D105" t="s">
        <v>31</v>
      </c>
      <c r="H105">
        <v>1</v>
      </c>
      <c r="I105" t="s">
        <v>21</v>
      </c>
      <c r="J105" t="s">
        <v>22</v>
      </c>
      <c r="N105" t="str">
        <f ca="1">IFERROR(_xludf.XLOOKUP($F105&amp;"."&amp;$G105,CaseSource!$A$2:$A$371,CaseSource!$B$2:$B$371,""),"")</f>
        <v/>
      </c>
    </row>
    <row r="106" spans="1:14" hidden="1" x14ac:dyDescent="0.2">
      <c r="A106" t="s">
        <v>361</v>
      </c>
      <c r="B106" t="s">
        <v>130</v>
      </c>
      <c r="C106" t="s">
        <v>356</v>
      </c>
      <c r="D106" t="s">
        <v>31</v>
      </c>
      <c r="H106">
        <v>1</v>
      </c>
      <c r="I106" t="s">
        <v>21</v>
      </c>
      <c r="J106" t="s">
        <v>22</v>
      </c>
      <c r="N106" t="str">
        <f ca="1">IFERROR(_xludf.XLOOKUP($F106&amp;"."&amp;$G106,CaseSource!$A$2:$A$371,CaseSource!$B$2:$B$371,""),"")</f>
        <v/>
      </c>
    </row>
    <row r="107" spans="1:14" hidden="1" x14ac:dyDescent="0.2">
      <c r="A107" t="s">
        <v>392</v>
      </c>
      <c r="B107" t="s">
        <v>130</v>
      </c>
      <c r="C107" t="s">
        <v>393</v>
      </c>
      <c r="D107" t="s">
        <v>31</v>
      </c>
      <c r="H107">
        <v>1</v>
      </c>
      <c r="I107" t="s">
        <v>21</v>
      </c>
      <c r="J107" t="s">
        <v>22</v>
      </c>
      <c r="N107" t="str">
        <f ca="1">IFERROR(_xludf.XLOOKUP($F107&amp;"."&amp;$G107,CaseSource!$A$2:$A$371,CaseSource!$B$2:$B$371,""),"")</f>
        <v/>
      </c>
    </row>
    <row r="108" spans="1:14" hidden="1" x14ac:dyDescent="0.2">
      <c r="A108" t="s">
        <v>394</v>
      </c>
      <c r="B108" t="s">
        <v>130</v>
      </c>
      <c r="C108" t="s">
        <v>393</v>
      </c>
      <c r="D108" t="s">
        <v>31</v>
      </c>
      <c r="H108">
        <v>1</v>
      </c>
      <c r="I108" t="s">
        <v>21</v>
      </c>
      <c r="J108" t="s">
        <v>22</v>
      </c>
      <c r="N108" t="str">
        <f ca="1">IFERROR(_xludf.XLOOKUP($F108&amp;"."&amp;$G108,CaseSource!$A$2:$A$371,CaseSource!$B$2:$B$371,""),"")</f>
        <v/>
      </c>
    </row>
    <row r="109" spans="1:14" hidden="1" x14ac:dyDescent="0.2">
      <c r="A109" t="s">
        <v>395</v>
      </c>
      <c r="B109" t="s">
        <v>130</v>
      </c>
      <c r="C109" t="s">
        <v>393</v>
      </c>
      <c r="D109" t="s">
        <v>31</v>
      </c>
      <c r="H109">
        <v>1</v>
      </c>
      <c r="I109" t="s">
        <v>21</v>
      </c>
      <c r="J109" t="s">
        <v>22</v>
      </c>
      <c r="N109" t="str">
        <f ca="1">IFERROR(_xludf.XLOOKUP($F109&amp;"."&amp;$G109,CaseSource!$A$2:$A$371,CaseSource!$B$2:$B$371,""),"")</f>
        <v/>
      </c>
    </row>
    <row r="110" spans="1:14" hidden="1" x14ac:dyDescent="0.2">
      <c r="A110" t="s">
        <v>396</v>
      </c>
      <c r="B110" t="s">
        <v>130</v>
      </c>
      <c r="C110" t="s">
        <v>393</v>
      </c>
      <c r="D110" t="s">
        <v>31</v>
      </c>
      <c r="H110">
        <v>1</v>
      </c>
      <c r="I110" t="s">
        <v>21</v>
      </c>
      <c r="J110" t="s">
        <v>22</v>
      </c>
      <c r="N110" t="str">
        <f ca="1">IFERROR(_xludf.XLOOKUP($F110&amp;"."&amp;$G110,CaseSource!$A$2:$A$371,CaseSource!$B$2:$B$371,""),"")</f>
        <v/>
      </c>
    </row>
    <row r="111" spans="1:14" hidden="1" x14ac:dyDescent="0.2">
      <c r="A111" t="s">
        <v>397</v>
      </c>
      <c r="B111" t="s">
        <v>130</v>
      </c>
      <c r="C111" t="s">
        <v>393</v>
      </c>
      <c r="D111" t="s">
        <v>31</v>
      </c>
      <c r="H111">
        <v>1</v>
      </c>
      <c r="I111" t="s">
        <v>21</v>
      </c>
      <c r="J111" t="s">
        <v>22</v>
      </c>
      <c r="N111" t="str">
        <f ca="1">IFERROR(_xludf.XLOOKUP($F111&amp;"."&amp;$G111,CaseSource!$A$2:$A$371,CaseSource!$B$2:$B$371,""),"")</f>
        <v/>
      </c>
    </row>
    <row r="112" spans="1:14" hidden="1" x14ac:dyDescent="0.2">
      <c r="A112" t="s">
        <v>398</v>
      </c>
      <c r="B112" t="s">
        <v>130</v>
      </c>
      <c r="C112" t="s">
        <v>393</v>
      </c>
      <c r="D112" t="s">
        <v>31</v>
      </c>
      <c r="H112">
        <v>1</v>
      </c>
      <c r="I112" t="s">
        <v>21</v>
      </c>
      <c r="J112" t="s">
        <v>22</v>
      </c>
      <c r="N112" t="str">
        <f ca="1">IFERROR(_xludf.XLOOKUP($F112&amp;"."&amp;$G112,CaseSource!$A$2:$A$371,CaseSource!$B$2:$B$371,""),"")</f>
        <v/>
      </c>
    </row>
    <row r="113" spans="1:14" hidden="1" x14ac:dyDescent="0.2">
      <c r="A113" t="s">
        <v>399</v>
      </c>
      <c r="B113" t="s">
        <v>130</v>
      </c>
      <c r="C113" t="s">
        <v>393</v>
      </c>
      <c r="D113" t="s">
        <v>31</v>
      </c>
      <c r="H113">
        <v>1</v>
      </c>
      <c r="I113" t="s">
        <v>21</v>
      </c>
      <c r="J113" t="s">
        <v>22</v>
      </c>
      <c r="N113" t="str">
        <f ca="1">IFERROR(_xludf.XLOOKUP($F113&amp;"."&amp;$G113,CaseSource!$A$2:$A$371,CaseSource!$B$2:$B$371,""),"")</f>
        <v/>
      </c>
    </row>
    <row r="114" spans="1:14" hidden="1" x14ac:dyDescent="0.2">
      <c r="A114" t="s">
        <v>400</v>
      </c>
      <c r="B114" t="s">
        <v>130</v>
      </c>
      <c r="C114" t="s">
        <v>393</v>
      </c>
      <c r="D114" t="s">
        <v>31</v>
      </c>
      <c r="H114">
        <v>1</v>
      </c>
      <c r="I114" t="s">
        <v>21</v>
      </c>
      <c r="J114" t="s">
        <v>22</v>
      </c>
      <c r="N114" t="str">
        <f ca="1">IFERROR(_xludf.XLOOKUP($F114&amp;"."&amp;$G114,CaseSource!$A$2:$A$371,CaseSource!$B$2:$B$371,""),"")</f>
        <v/>
      </c>
    </row>
    <row r="115" spans="1:14" hidden="1" x14ac:dyDescent="0.2">
      <c r="A115" t="s">
        <v>401</v>
      </c>
      <c r="B115" t="s">
        <v>130</v>
      </c>
      <c r="C115" t="s">
        <v>356</v>
      </c>
      <c r="D115" t="s">
        <v>31</v>
      </c>
      <c r="H115">
        <v>1</v>
      </c>
      <c r="I115" t="s">
        <v>21</v>
      </c>
      <c r="J115" t="s">
        <v>22</v>
      </c>
      <c r="N115" t="str">
        <f ca="1">IFERROR(_xludf.XLOOKUP($F115&amp;"."&amp;$G115,CaseSource!$A$2:$A$371,CaseSource!$B$2:$B$371,""),"")</f>
        <v/>
      </c>
    </row>
    <row r="116" spans="1:14" hidden="1" x14ac:dyDescent="0.2">
      <c r="A116" t="s">
        <v>402</v>
      </c>
      <c r="B116" t="s">
        <v>130</v>
      </c>
      <c r="C116" t="s">
        <v>356</v>
      </c>
      <c r="D116" t="s">
        <v>31</v>
      </c>
      <c r="H116">
        <v>1</v>
      </c>
      <c r="I116" t="s">
        <v>21</v>
      </c>
      <c r="J116" t="s">
        <v>22</v>
      </c>
      <c r="N116" t="str">
        <f ca="1">IFERROR(_xludf.XLOOKUP($F116&amp;"."&amp;$G116,CaseSource!$A$2:$A$371,CaseSource!$B$2:$B$371,""),"")</f>
        <v/>
      </c>
    </row>
    <row r="117" spans="1:14" hidden="1" x14ac:dyDescent="0.2">
      <c r="A117" t="s">
        <v>411</v>
      </c>
      <c r="B117" t="s">
        <v>130</v>
      </c>
      <c r="C117" t="s">
        <v>356</v>
      </c>
      <c r="D117" t="s">
        <v>31</v>
      </c>
      <c r="H117">
        <v>1</v>
      </c>
      <c r="I117" t="s">
        <v>21</v>
      </c>
      <c r="J117" t="s">
        <v>22</v>
      </c>
      <c r="N117" t="str">
        <f ca="1">IFERROR(_xludf.XLOOKUP($F117&amp;"."&amp;$G117,CaseSource!$A$2:$A$371,CaseSource!$B$2:$B$371,""),"")</f>
        <v/>
      </c>
    </row>
    <row r="118" spans="1:14" hidden="1" x14ac:dyDescent="0.2">
      <c r="A118" t="s">
        <v>421</v>
      </c>
      <c r="B118" t="s">
        <v>130</v>
      </c>
      <c r="C118" t="s">
        <v>356</v>
      </c>
      <c r="D118" t="s">
        <v>31</v>
      </c>
      <c r="H118">
        <v>1</v>
      </c>
      <c r="I118" t="s">
        <v>21</v>
      </c>
      <c r="J118" t="s">
        <v>22</v>
      </c>
      <c r="N118" t="str">
        <f ca="1">IFERROR(_xludf.XLOOKUP($F118&amp;"."&amp;$G118,CaseSource!$A$2:$A$371,CaseSource!$B$2:$B$371,""),"")</f>
        <v/>
      </c>
    </row>
    <row r="119" spans="1:14" hidden="1" x14ac:dyDescent="0.2">
      <c r="A119" t="s">
        <v>422</v>
      </c>
      <c r="B119" t="s">
        <v>130</v>
      </c>
      <c r="C119" t="s">
        <v>356</v>
      </c>
      <c r="D119" t="s">
        <v>31</v>
      </c>
      <c r="H119">
        <v>1</v>
      </c>
      <c r="I119" t="s">
        <v>21</v>
      </c>
      <c r="J119" t="s">
        <v>22</v>
      </c>
      <c r="N119" t="str">
        <f ca="1">IFERROR(_xludf.XLOOKUP($F119&amp;"."&amp;$G119,CaseSource!$A$2:$A$371,CaseSource!$B$2:$B$371,""),"")</f>
        <v/>
      </c>
    </row>
    <row r="120" spans="1:14" hidden="1" x14ac:dyDescent="0.2">
      <c r="A120" t="s">
        <v>442</v>
      </c>
      <c r="B120" t="s">
        <v>130</v>
      </c>
      <c r="C120" t="s">
        <v>443</v>
      </c>
      <c r="D120" t="s">
        <v>31</v>
      </c>
      <c r="H120">
        <v>1</v>
      </c>
      <c r="I120" t="s">
        <v>21</v>
      </c>
      <c r="J120" t="s">
        <v>22</v>
      </c>
      <c r="N120" t="str">
        <f ca="1">IFERROR(_xludf.XLOOKUP($F120&amp;"."&amp;$G120,CaseSource!$A$2:$A$371,CaseSource!$B$2:$B$371,""),"")</f>
        <v/>
      </c>
    </row>
    <row r="121" spans="1:14" hidden="1" x14ac:dyDescent="0.2">
      <c r="A121" t="s">
        <v>458</v>
      </c>
      <c r="B121" t="s">
        <v>130</v>
      </c>
      <c r="C121" t="s">
        <v>16</v>
      </c>
      <c r="D121" t="s">
        <v>31</v>
      </c>
      <c r="H121">
        <v>1</v>
      </c>
      <c r="I121" t="s">
        <v>21</v>
      </c>
      <c r="J121" t="s">
        <v>22</v>
      </c>
      <c r="N121" t="str">
        <f ca="1">IFERROR(_xludf.XLOOKUP($F121&amp;"."&amp;$G121,CaseSource!$A$2:$A$371,CaseSource!$B$2:$B$371,""),"")</f>
        <v/>
      </c>
    </row>
    <row r="122" spans="1:14" hidden="1" x14ac:dyDescent="0.2">
      <c r="A122" t="s">
        <v>459</v>
      </c>
      <c r="B122" t="s">
        <v>130</v>
      </c>
      <c r="C122" t="s">
        <v>16</v>
      </c>
      <c r="D122" t="s">
        <v>31</v>
      </c>
      <c r="H122">
        <v>1</v>
      </c>
      <c r="I122" t="s">
        <v>21</v>
      </c>
      <c r="J122" t="s">
        <v>22</v>
      </c>
      <c r="N122" t="str">
        <f ca="1">IFERROR(_xludf.XLOOKUP($F122&amp;"."&amp;$G122,CaseSource!$A$2:$A$371,CaseSource!$B$2:$B$371,""),"")</f>
        <v/>
      </c>
    </row>
    <row r="123" spans="1:14" hidden="1" x14ac:dyDescent="0.2">
      <c r="A123" t="s">
        <v>467</v>
      </c>
      <c r="B123" t="s">
        <v>130</v>
      </c>
      <c r="C123" t="s">
        <v>80</v>
      </c>
      <c r="D123" t="s">
        <v>250</v>
      </c>
      <c r="E123" t="s">
        <v>468</v>
      </c>
      <c r="H123">
        <v>1</v>
      </c>
      <c r="I123" t="s">
        <v>21</v>
      </c>
      <c r="J123" t="s">
        <v>22</v>
      </c>
      <c r="N123" t="str">
        <f ca="1">IFERROR(_xludf.XLOOKUP($F123&amp;"."&amp;$G123,CaseSource!$A$2:$A$371,CaseSource!$B$2:$B$371,""),"")</f>
        <v/>
      </c>
    </row>
    <row r="124" spans="1:14" hidden="1" x14ac:dyDescent="0.2">
      <c r="A124" t="s">
        <v>470</v>
      </c>
      <c r="B124" t="s">
        <v>130</v>
      </c>
      <c r="C124" t="s">
        <v>146</v>
      </c>
      <c r="D124" t="s">
        <v>31</v>
      </c>
      <c r="H124">
        <v>1</v>
      </c>
      <c r="I124" t="s">
        <v>21</v>
      </c>
      <c r="J124" t="s">
        <v>22</v>
      </c>
      <c r="N124" t="str">
        <f ca="1">IFERROR(_xludf.XLOOKUP($F124&amp;"."&amp;$G124,CaseSource!$A$2:$A$371,CaseSource!$B$2:$B$371,""),"")</f>
        <v/>
      </c>
    </row>
    <row r="125" spans="1:14" hidden="1" x14ac:dyDescent="0.2">
      <c r="A125" t="s">
        <v>473</v>
      </c>
      <c r="B125" t="s">
        <v>130</v>
      </c>
      <c r="C125" t="s">
        <v>356</v>
      </c>
      <c r="D125" t="s">
        <v>31</v>
      </c>
      <c r="H125">
        <v>1</v>
      </c>
      <c r="I125" t="s">
        <v>21</v>
      </c>
      <c r="J125" t="s">
        <v>22</v>
      </c>
      <c r="N125" t="str">
        <f ca="1">IFERROR(_xludf.XLOOKUP($F125&amp;"."&amp;$G125,CaseSource!$A$2:$A$371,CaseSource!$B$2:$B$371,""),"")</f>
        <v/>
      </c>
    </row>
    <row r="126" spans="1:14" hidden="1" x14ac:dyDescent="0.2">
      <c r="A126" t="s">
        <v>475</v>
      </c>
      <c r="B126" t="s">
        <v>130</v>
      </c>
      <c r="C126" t="s">
        <v>346</v>
      </c>
      <c r="D126" t="s">
        <v>31</v>
      </c>
      <c r="H126">
        <v>1</v>
      </c>
      <c r="I126" t="s">
        <v>21</v>
      </c>
      <c r="J126" t="s">
        <v>22</v>
      </c>
      <c r="N126" t="str">
        <f ca="1">IFERROR(_xludf.XLOOKUP($F126&amp;"."&amp;$G126,CaseSource!$A$2:$A$371,CaseSource!$B$2:$B$371,""),"")</f>
        <v/>
      </c>
    </row>
    <row r="127" spans="1:14" hidden="1" x14ac:dyDescent="0.2">
      <c r="A127" t="s">
        <v>476</v>
      </c>
      <c r="B127" t="s">
        <v>130</v>
      </c>
      <c r="C127" t="s">
        <v>346</v>
      </c>
      <c r="D127" t="s">
        <v>31</v>
      </c>
      <c r="H127">
        <v>1</v>
      </c>
      <c r="I127" t="s">
        <v>21</v>
      </c>
      <c r="J127" t="s">
        <v>22</v>
      </c>
      <c r="N127" t="str">
        <f ca="1">IFERROR(_xludf.XLOOKUP($F127&amp;"."&amp;$G127,CaseSource!$A$2:$A$371,CaseSource!$B$2:$B$371,""),"")</f>
        <v/>
      </c>
    </row>
    <row r="128" spans="1:14" hidden="1" x14ac:dyDescent="0.2">
      <c r="A128" t="s">
        <v>477</v>
      </c>
      <c r="B128" t="s">
        <v>130</v>
      </c>
      <c r="C128" t="s">
        <v>346</v>
      </c>
      <c r="D128" t="s">
        <v>31</v>
      </c>
      <c r="H128">
        <v>1</v>
      </c>
      <c r="I128" t="s">
        <v>21</v>
      </c>
      <c r="J128" t="s">
        <v>22</v>
      </c>
      <c r="N128" t="str">
        <f ca="1">IFERROR(_xludf.XLOOKUP($F128&amp;"."&amp;$G128,CaseSource!$A$2:$A$371,CaseSource!$B$2:$B$371,""),"")</f>
        <v/>
      </c>
    </row>
    <row r="129" spans="1:14" hidden="1" x14ac:dyDescent="0.2">
      <c r="A129" t="s">
        <v>478</v>
      </c>
      <c r="B129" t="s">
        <v>130</v>
      </c>
      <c r="C129" t="s">
        <v>346</v>
      </c>
      <c r="D129" t="s">
        <v>31</v>
      </c>
      <c r="H129">
        <v>1</v>
      </c>
      <c r="I129" t="s">
        <v>21</v>
      </c>
      <c r="J129" t="s">
        <v>22</v>
      </c>
      <c r="N129" t="str">
        <f ca="1">IFERROR(_xludf.XLOOKUP($F129&amp;"."&amp;$G129,CaseSource!$A$2:$A$371,CaseSource!$B$2:$B$371,""),"")</f>
        <v/>
      </c>
    </row>
    <row r="130" spans="1:14" hidden="1" x14ac:dyDescent="0.2">
      <c r="A130" t="s">
        <v>479</v>
      </c>
      <c r="B130" t="s">
        <v>130</v>
      </c>
      <c r="C130" t="s">
        <v>346</v>
      </c>
      <c r="D130" t="s">
        <v>31</v>
      </c>
      <c r="H130">
        <v>1</v>
      </c>
      <c r="I130" t="s">
        <v>21</v>
      </c>
      <c r="J130" t="s">
        <v>22</v>
      </c>
      <c r="N130" t="str">
        <f ca="1">IFERROR(_xludf.XLOOKUP($F130&amp;"."&amp;$G130,CaseSource!$A$2:$A$371,CaseSource!$B$2:$B$371,""),"")</f>
        <v/>
      </c>
    </row>
    <row r="131" spans="1:14" hidden="1" x14ac:dyDescent="0.2">
      <c r="A131" t="s">
        <v>480</v>
      </c>
      <c r="B131" t="s">
        <v>130</v>
      </c>
      <c r="C131" t="s">
        <v>346</v>
      </c>
      <c r="D131" t="s">
        <v>31</v>
      </c>
      <c r="H131">
        <v>1</v>
      </c>
      <c r="I131" t="s">
        <v>21</v>
      </c>
      <c r="J131" t="s">
        <v>22</v>
      </c>
      <c r="N131" t="str">
        <f ca="1">IFERROR(_xludf.XLOOKUP($F131&amp;"."&amp;$G131,CaseSource!$A$2:$A$371,CaseSource!$B$2:$B$371,""),"")</f>
        <v/>
      </c>
    </row>
    <row r="132" spans="1:14" hidden="1" x14ac:dyDescent="0.2">
      <c r="A132" t="s">
        <v>481</v>
      </c>
      <c r="B132" t="s">
        <v>130</v>
      </c>
      <c r="C132" t="s">
        <v>346</v>
      </c>
      <c r="D132" t="s">
        <v>31</v>
      </c>
      <c r="H132">
        <v>1</v>
      </c>
      <c r="I132" t="s">
        <v>21</v>
      </c>
      <c r="J132" t="s">
        <v>22</v>
      </c>
      <c r="N132" t="str">
        <f ca="1">IFERROR(_xludf.XLOOKUP($F132&amp;"."&amp;$G132,CaseSource!$A$2:$A$371,CaseSource!$B$2:$B$371,""),"")</f>
        <v/>
      </c>
    </row>
    <row r="133" spans="1:14" hidden="1" x14ac:dyDescent="0.2">
      <c r="A133" t="s">
        <v>482</v>
      </c>
      <c r="B133" t="s">
        <v>130</v>
      </c>
      <c r="C133" t="s">
        <v>346</v>
      </c>
      <c r="D133" t="s">
        <v>31</v>
      </c>
      <c r="H133">
        <v>1</v>
      </c>
      <c r="I133" t="s">
        <v>21</v>
      </c>
      <c r="J133" t="s">
        <v>22</v>
      </c>
      <c r="N133" t="str">
        <f ca="1">IFERROR(_xludf.XLOOKUP($F133&amp;"."&amp;$G133,CaseSource!$A$2:$A$371,CaseSource!$B$2:$B$371,""),"")</f>
        <v/>
      </c>
    </row>
    <row r="134" spans="1:14" hidden="1" x14ac:dyDescent="0.2">
      <c r="A134" t="s">
        <v>483</v>
      </c>
      <c r="B134" t="s">
        <v>130</v>
      </c>
      <c r="C134" t="s">
        <v>346</v>
      </c>
      <c r="D134" t="s">
        <v>31</v>
      </c>
      <c r="H134">
        <v>1</v>
      </c>
      <c r="I134" t="s">
        <v>21</v>
      </c>
      <c r="J134" t="s">
        <v>22</v>
      </c>
      <c r="N134" t="str">
        <f ca="1">IFERROR(_xludf.XLOOKUP($F134&amp;"."&amp;$G134,CaseSource!$A$2:$A$371,CaseSource!$B$2:$B$371,""),"")</f>
        <v/>
      </c>
    </row>
    <row r="135" spans="1:14" hidden="1" x14ac:dyDescent="0.2">
      <c r="A135" t="s">
        <v>485</v>
      </c>
      <c r="B135" t="s">
        <v>130</v>
      </c>
      <c r="C135" t="s">
        <v>356</v>
      </c>
      <c r="D135" t="s">
        <v>31</v>
      </c>
      <c r="H135">
        <v>1</v>
      </c>
      <c r="I135" t="s">
        <v>21</v>
      </c>
      <c r="J135" t="s">
        <v>22</v>
      </c>
      <c r="N135" t="str">
        <f ca="1">IFERROR(_xludf.XLOOKUP($F135&amp;"."&amp;$G135,CaseSource!$A$2:$A$371,CaseSource!$B$2:$B$371,""),"")</f>
        <v/>
      </c>
    </row>
    <row r="136" spans="1:14" hidden="1" x14ac:dyDescent="0.2">
      <c r="A136" t="s">
        <v>488</v>
      </c>
      <c r="B136" t="s">
        <v>130</v>
      </c>
      <c r="C136" t="s">
        <v>356</v>
      </c>
      <c r="D136" t="s">
        <v>31</v>
      </c>
      <c r="H136">
        <v>1</v>
      </c>
      <c r="I136" t="s">
        <v>21</v>
      </c>
      <c r="J136" t="s">
        <v>22</v>
      </c>
      <c r="N136" t="str">
        <f ca="1">IFERROR(_xludf.XLOOKUP($F136&amp;"."&amp;$G136,CaseSource!$A$2:$A$371,CaseSource!$B$2:$B$371,""),"")</f>
        <v/>
      </c>
    </row>
    <row r="137" spans="1:14" hidden="1" x14ac:dyDescent="0.2">
      <c r="A137" t="s">
        <v>490</v>
      </c>
      <c r="B137" t="s">
        <v>130</v>
      </c>
      <c r="C137" t="s">
        <v>356</v>
      </c>
      <c r="D137" t="s">
        <v>31</v>
      </c>
      <c r="H137">
        <v>1</v>
      </c>
      <c r="I137" t="s">
        <v>21</v>
      </c>
      <c r="J137" t="s">
        <v>22</v>
      </c>
      <c r="N137" t="str">
        <f ca="1">IFERROR(_xludf.XLOOKUP($F137&amp;"."&amp;$G137,CaseSource!$A$2:$A$371,CaseSource!$B$2:$B$371,""),"")</f>
        <v/>
      </c>
    </row>
    <row r="138" spans="1:14" hidden="1" x14ac:dyDescent="0.2">
      <c r="A138" t="s">
        <v>503</v>
      </c>
      <c r="B138" t="s">
        <v>130</v>
      </c>
      <c r="C138" t="s">
        <v>356</v>
      </c>
      <c r="D138" t="s">
        <v>31</v>
      </c>
      <c r="H138">
        <v>1</v>
      </c>
      <c r="I138" t="s">
        <v>21</v>
      </c>
      <c r="J138" t="s">
        <v>22</v>
      </c>
      <c r="N138" t="str">
        <f ca="1">IFERROR(_xludf.XLOOKUP($F138&amp;"."&amp;$G138,CaseSource!$A$2:$A$371,CaseSource!$B$2:$B$371,""),"")</f>
        <v/>
      </c>
    </row>
    <row r="139" spans="1:14" hidden="1" x14ac:dyDescent="0.2">
      <c r="A139" t="s">
        <v>515</v>
      </c>
      <c r="B139" t="s">
        <v>130</v>
      </c>
      <c r="C139" t="s">
        <v>356</v>
      </c>
      <c r="D139" t="s">
        <v>31</v>
      </c>
      <c r="H139">
        <v>1</v>
      </c>
      <c r="I139" t="s">
        <v>21</v>
      </c>
      <c r="J139" t="s">
        <v>22</v>
      </c>
      <c r="N139" t="str">
        <f ca="1">IFERROR(_xludf.XLOOKUP($F139&amp;"."&amp;$G139,CaseSource!$A$2:$A$371,CaseSource!$B$2:$B$371,""),"")</f>
        <v/>
      </c>
    </row>
    <row r="140" spans="1:14" hidden="1" x14ac:dyDescent="0.2">
      <c r="A140" t="s">
        <v>516</v>
      </c>
      <c r="B140" t="s">
        <v>130</v>
      </c>
      <c r="C140" t="s">
        <v>356</v>
      </c>
      <c r="D140" t="s">
        <v>31</v>
      </c>
      <c r="H140">
        <v>1</v>
      </c>
      <c r="I140" t="s">
        <v>21</v>
      </c>
      <c r="J140" t="s">
        <v>22</v>
      </c>
      <c r="N140" t="str">
        <f ca="1">IFERROR(_xludf.XLOOKUP($F140&amp;"."&amp;$G140,CaseSource!$A$2:$A$371,CaseSource!$B$2:$B$371,""),"")</f>
        <v/>
      </c>
    </row>
    <row r="141" spans="1:14" hidden="1" x14ac:dyDescent="0.2">
      <c r="A141" t="s">
        <v>525</v>
      </c>
      <c r="B141" t="s">
        <v>130</v>
      </c>
      <c r="C141" t="s">
        <v>356</v>
      </c>
      <c r="D141" t="s">
        <v>31</v>
      </c>
      <c r="H141">
        <v>1</v>
      </c>
      <c r="I141" t="s">
        <v>21</v>
      </c>
      <c r="J141" t="s">
        <v>22</v>
      </c>
      <c r="N141" t="str">
        <f ca="1">IFERROR(_xludf.XLOOKUP($F141&amp;"."&amp;$G141,CaseSource!$A$2:$A$371,CaseSource!$B$2:$B$371,""),"")</f>
        <v/>
      </c>
    </row>
    <row r="142" spans="1:14" hidden="1" x14ac:dyDescent="0.2">
      <c r="A142" t="s">
        <v>538</v>
      </c>
      <c r="B142" t="s">
        <v>130</v>
      </c>
      <c r="C142" t="s">
        <v>356</v>
      </c>
      <c r="D142" t="s">
        <v>31</v>
      </c>
      <c r="H142">
        <v>1</v>
      </c>
      <c r="I142" t="s">
        <v>21</v>
      </c>
      <c r="J142" t="s">
        <v>22</v>
      </c>
      <c r="N142" t="str">
        <f ca="1">IFERROR(_xludf.XLOOKUP($F142&amp;"."&amp;$G142,CaseSource!$A$2:$A$371,CaseSource!$B$2:$B$371,""),"")</f>
        <v/>
      </c>
    </row>
    <row r="143" spans="1:14" hidden="1" x14ac:dyDescent="0.2">
      <c r="A143" t="s">
        <v>549</v>
      </c>
      <c r="B143" t="s">
        <v>130</v>
      </c>
      <c r="C143" t="s">
        <v>16</v>
      </c>
      <c r="D143" t="s">
        <v>31</v>
      </c>
      <c r="H143">
        <v>1</v>
      </c>
      <c r="I143" t="s">
        <v>21</v>
      </c>
      <c r="J143" t="s">
        <v>22</v>
      </c>
      <c r="N143" t="str">
        <f ca="1">IFERROR(_xludf.XLOOKUP($F143&amp;"."&amp;$G143,CaseSource!$A$2:$A$371,CaseSource!$B$2:$B$371,""),"")</f>
        <v/>
      </c>
    </row>
    <row r="144" spans="1:14" hidden="1" x14ac:dyDescent="0.2">
      <c r="A144" t="s">
        <v>554</v>
      </c>
      <c r="B144" t="s">
        <v>130</v>
      </c>
      <c r="C144" t="s">
        <v>393</v>
      </c>
      <c r="D144" t="s">
        <v>31</v>
      </c>
      <c r="H144">
        <v>1</v>
      </c>
      <c r="I144" t="s">
        <v>21</v>
      </c>
      <c r="J144" t="s">
        <v>22</v>
      </c>
      <c r="N144" t="str">
        <f ca="1">IFERROR(_xludf.XLOOKUP($F144&amp;"."&amp;$G144,CaseSource!$A$2:$A$371,CaseSource!$B$2:$B$371,""),"")</f>
        <v/>
      </c>
    </row>
    <row r="145" spans="1:14" hidden="1" x14ac:dyDescent="0.2">
      <c r="A145" t="s">
        <v>555</v>
      </c>
      <c r="B145" t="s">
        <v>130</v>
      </c>
      <c r="C145" t="s">
        <v>393</v>
      </c>
      <c r="D145" t="s">
        <v>31</v>
      </c>
      <c r="H145">
        <v>1</v>
      </c>
      <c r="I145" t="s">
        <v>21</v>
      </c>
      <c r="J145" t="s">
        <v>22</v>
      </c>
      <c r="N145" t="str">
        <f ca="1">IFERROR(_xludf.XLOOKUP($F145&amp;"."&amp;$G145,CaseSource!$A$2:$A$371,CaseSource!$B$2:$B$371,""),"")</f>
        <v/>
      </c>
    </row>
    <row r="146" spans="1:14" hidden="1" x14ac:dyDescent="0.2">
      <c r="A146" t="s">
        <v>556</v>
      </c>
      <c r="B146" t="s">
        <v>130</v>
      </c>
      <c r="C146" t="s">
        <v>393</v>
      </c>
      <c r="D146" t="s">
        <v>31</v>
      </c>
      <c r="H146">
        <v>1</v>
      </c>
      <c r="I146" t="s">
        <v>21</v>
      </c>
      <c r="J146" t="s">
        <v>22</v>
      </c>
      <c r="N146" t="str">
        <f ca="1">IFERROR(_xludf.XLOOKUP($F146&amp;"."&amp;$G146,CaseSource!$A$2:$A$371,CaseSource!$B$2:$B$371,""),"")</f>
        <v/>
      </c>
    </row>
    <row r="147" spans="1:14" hidden="1" x14ac:dyDescent="0.2">
      <c r="A147" t="s">
        <v>565</v>
      </c>
      <c r="B147" t="s">
        <v>130</v>
      </c>
      <c r="C147" t="s">
        <v>356</v>
      </c>
      <c r="D147" t="s">
        <v>31</v>
      </c>
      <c r="H147">
        <v>1</v>
      </c>
      <c r="I147" t="s">
        <v>21</v>
      </c>
      <c r="J147" t="s">
        <v>22</v>
      </c>
      <c r="N147" t="str">
        <f ca="1">IFERROR(_xludf.XLOOKUP($F147&amp;"."&amp;$G147,CaseSource!$A$2:$A$371,CaseSource!$B$2:$B$371,""),"")</f>
        <v/>
      </c>
    </row>
    <row r="148" spans="1:14" hidden="1" x14ac:dyDescent="0.2">
      <c r="A148" t="s">
        <v>566</v>
      </c>
      <c r="B148" t="s">
        <v>130</v>
      </c>
      <c r="C148" t="s">
        <v>356</v>
      </c>
      <c r="D148" t="s">
        <v>31</v>
      </c>
      <c r="H148">
        <v>1</v>
      </c>
      <c r="I148" t="s">
        <v>21</v>
      </c>
      <c r="J148" t="s">
        <v>22</v>
      </c>
      <c r="N148" t="str">
        <f ca="1">IFERROR(_xludf.XLOOKUP($F148&amp;"."&amp;$G148,CaseSource!$A$2:$A$371,CaseSource!$B$2:$B$371,""),"")</f>
        <v/>
      </c>
    </row>
    <row r="149" spans="1:14" hidden="1" x14ac:dyDescent="0.2">
      <c r="A149" t="s">
        <v>574</v>
      </c>
      <c r="B149" t="s">
        <v>130</v>
      </c>
      <c r="C149" t="s">
        <v>443</v>
      </c>
      <c r="D149" t="s">
        <v>31</v>
      </c>
      <c r="H149">
        <v>1</v>
      </c>
      <c r="I149" t="s">
        <v>21</v>
      </c>
      <c r="J149" t="s">
        <v>22</v>
      </c>
      <c r="N149" t="str">
        <f ca="1">IFERROR(_xludf.XLOOKUP($F149&amp;"."&amp;$G149,CaseSource!$A$2:$A$371,CaseSource!$B$2:$B$371,""),"")</f>
        <v/>
      </c>
    </row>
    <row r="150" spans="1:14" hidden="1" x14ac:dyDescent="0.2">
      <c r="A150" t="s">
        <v>575</v>
      </c>
      <c r="B150" t="s">
        <v>130</v>
      </c>
      <c r="C150" t="s">
        <v>262</v>
      </c>
      <c r="D150" t="s">
        <v>31</v>
      </c>
      <c r="H150">
        <v>1</v>
      </c>
      <c r="I150" t="s">
        <v>21</v>
      </c>
      <c r="J150" t="s">
        <v>22</v>
      </c>
      <c r="N150" t="str">
        <f ca="1">IFERROR(_xludf.XLOOKUP($F150&amp;"."&amp;$G150,CaseSource!$A$2:$A$371,CaseSource!$B$2:$B$371,""),"")</f>
        <v/>
      </c>
    </row>
    <row r="151" spans="1:14" hidden="1" x14ac:dyDescent="0.2">
      <c r="A151" t="s">
        <v>576</v>
      </c>
      <c r="B151" t="s">
        <v>130</v>
      </c>
      <c r="C151" t="s">
        <v>16</v>
      </c>
      <c r="D151" t="s">
        <v>31</v>
      </c>
      <c r="H151">
        <v>1</v>
      </c>
      <c r="I151" t="s">
        <v>21</v>
      </c>
      <c r="J151" t="s">
        <v>22</v>
      </c>
      <c r="N151" t="str">
        <f ca="1">IFERROR(_xludf.XLOOKUP($F151&amp;"."&amp;$G151,CaseSource!$A$2:$A$371,CaseSource!$B$2:$B$371,""),"")</f>
        <v/>
      </c>
    </row>
    <row r="152" spans="1:14" hidden="1" x14ac:dyDescent="0.2">
      <c r="A152" t="s">
        <v>577</v>
      </c>
      <c r="B152" t="s">
        <v>130</v>
      </c>
      <c r="C152" t="s">
        <v>266</v>
      </c>
      <c r="D152" t="s">
        <v>31</v>
      </c>
      <c r="H152">
        <v>1</v>
      </c>
      <c r="I152" t="s">
        <v>21</v>
      </c>
      <c r="J152" t="s">
        <v>22</v>
      </c>
      <c r="N152" t="str">
        <f ca="1">IFERROR(_xludf.XLOOKUP($F152&amp;"."&amp;$G152,CaseSource!$A$2:$A$371,CaseSource!$B$2:$B$371,""),"")</f>
        <v/>
      </c>
    </row>
    <row r="153" spans="1:14" hidden="1" x14ac:dyDescent="0.2">
      <c r="A153" t="s">
        <v>578</v>
      </c>
      <c r="B153" t="s">
        <v>130</v>
      </c>
      <c r="C153" t="s">
        <v>266</v>
      </c>
      <c r="D153" t="s">
        <v>31</v>
      </c>
      <c r="H153">
        <v>1</v>
      </c>
      <c r="I153" t="s">
        <v>21</v>
      </c>
      <c r="J153" t="s">
        <v>22</v>
      </c>
      <c r="N153" t="str">
        <f ca="1">IFERROR(_xludf.XLOOKUP($F153&amp;"."&amp;$G153,CaseSource!$A$2:$A$371,CaseSource!$B$2:$B$371,""),"")</f>
        <v/>
      </c>
    </row>
    <row r="154" spans="1:14" hidden="1" x14ac:dyDescent="0.2">
      <c r="A154" t="s">
        <v>579</v>
      </c>
      <c r="B154" t="s">
        <v>130</v>
      </c>
      <c r="C154" t="s">
        <v>262</v>
      </c>
      <c r="D154" t="s">
        <v>31</v>
      </c>
      <c r="H154">
        <v>1</v>
      </c>
      <c r="I154" t="s">
        <v>21</v>
      </c>
      <c r="J154" t="s">
        <v>22</v>
      </c>
      <c r="N154" t="str">
        <f ca="1">IFERROR(_xludf.XLOOKUP($F154&amp;"."&amp;$G154,CaseSource!$A$2:$A$371,CaseSource!$B$2:$B$371,""),"")</f>
        <v/>
      </c>
    </row>
    <row r="155" spans="1:14" hidden="1" x14ac:dyDescent="0.2">
      <c r="A155" t="s">
        <v>580</v>
      </c>
      <c r="B155" t="s">
        <v>130</v>
      </c>
      <c r="C155" t="s">
        <v>16</v>
      </c>
      <c r="D155" t="s">
        <v>31</v>
      </c>
      <c r="H155">
        <v>1</v>
      </c>
      <c r="I155" t="s">
        <v>21</v>
      </c>
      <c r="J155" t="s">
        <v>22</v>
      </c>
      <c r="N155" t="str">
        <f ca="1">IFERROR(_xludf.XLOOKUP($F155&amp;"."&amp;$G155,CaseSource!$A$2:$A$371,CaseSource!$B$2:$B$371,""),"")</f>
        <v/>
      </c>
    </row>
    <row r="156" spans="1:14" hidden="1" x14ac:dyDescent="0.2">
      <c r="A156" t="s">
        <v>581</v>
      </c>
      <c r="B156" t="s">
        <v>130</v>
      </c>
      <c r="C156" t="s">
        <v>262</v>
      </c>
      <c r="D156" t="s">
        <v>31</v>
      </c>
      <c r="H156">
        <v>1</v>
      </c>
      <c r="I156" t="s">
        <v>21</v>
      </c>
      <c r="J156" t="s">
        <v>22</v>
      </c>
      <c r="N156" t="str">
        <f ca="1">IFERROR(_xludf.XLOOKUP($F156&amp;"."&amp;$G156,CaseSource!$A$2:$A$371,CaseSource!$B$2:$B$371,""),"")</f>
        <v/>
      </c>
    </row>
    <row r="157" spans="1:14" hidden="1" x14ac:dyDescent="0.2">
      <c r="A157" t="s">
        <v>582</v>
      </c>
      <c r="B157" t="s">
        <v>130</v>
      </c>
      <c r="C157" t="s">
        <v>16</v>
      </c>
      <c r="D157" t="s">
        <v>31</v>
      </c>
      <c r="H157">
        <v>1</v>
      </c>
      <c r="I157" t="s">
        <v>21</v>
      </c>
      <c r="J157" t="s">
        <v>22</v>
      </c>
      <c r="N157" t="str">
        <f ca="1">IFERROR(_xludf.XLOOKUP($F157&amp;"."&amp;$G157,CaseSource!$A$2:$A$371,CaseSource!$B$2:$B$371,""),"")</f>
        <v/>
      </c>
    </row>
    <row r="158" spans="1:14" hidden="1" x14ac:dyDescent="0.2">
      <c r="A158" t="s">
        <v>583</v>
      </c>
      <c r="B158" t="s">
        <v>130</v>
      </c>
      <c r="C158" t="s">
        <v>16</v>
      </c>
      <c r="D158" t="s">
        <v>31</v>
      </c>
      <c r="H158">
        <v>1</v>
      </c>
      <c r="I158" t="s">
        <v>21</v>
      </c>
      <c r="J158" t="s">
        <v>22</v>
      </c>
      <c r="N158" t="str">
        <f ca="1">IFERROR(_xludf.XLOOKUP($F158&amp;"."&amp;$G158,CaseSource!$A$2:$A$371,CaseSource!$B$2:$B$371,""),"")</f>
        <v/>
      </c>
    </row>
    <row r="159" spans="1:14" hidden="1" x14ac:dyDescent="0.2">
      <c r="A159" t="s">
        <v>585</v>
      </c>
      <c r="B159" t="s">
        <v>130</v>
      </c>
      <c r="C159" t="s">
        <v>16</v>
      </c>
      <c r="D159" t="s">
        <v>31</v>
      </c>
      <c r="H159">
        <v>1</v>
      </c>
      <c r="I159" t="s">
        <v>21</v>
      </c>
      <c r="J159" t="s">
        <v>22</v>
      </c>
      <c r="N159" t="str">
        <f ca="1">IFERROR(_xludf.XLOOKUP($F159&amp;"."&amp;$G159,CaseSource!$A$2:$A$371,CaseSource!$B$2:$B$371,""),"")</f>
        <v/>
      </c>
    </row>
    <row r="160" spans="1:14" hidden="1" x14ac:dyDescent="0.2">
      <c r="A160" t="s">
        <v>586</v>
      </c>
      <c r="B160" t="s">
        <v>130</v>
      </c>
      <c r="C160" t="s">
        <v>120</v>
      </c>
      <c r="D160" t="s">
        <v>31</v>
      </c>
      <c r="H160">
        <v>1</v>
      </c>
      <c r="I160" t="s">
        <v>21</v>
      </c>
      <c r="J160" t="s">
        <v>22</v>
      </c>
      <c r="N160" t="str">
        <f ca="1">IFERROR(_xludf.XLOOKUP($F160&amp;"."&amp;$G160,CaseSource!$A$2:$A$371,CaseSource!$B$2:$B$371,""),"")</f>
        <v/>
      </c>
    </row>
    <row r="161" spans="1:14" hidden="1" x14ac:dyDescent="0.2">
      <c r="A161" t="s">
        <v>587</v>
      </c>
      <c r="B161" t="s">
        <v>130</v>
      </c>
      <c r="C161" t="s">
        <v>16</v>
      </c>
      <c r="D161" t="s">
        <v>31</v>
      </c>
      <c r="H161">
        <v>1</v>
      </c>
      <c r="I161" t="s">
        <v>21</v>
      </c>
      <c r="J161" t="s">
        <v>22</v>
      </c>
      <c r="N161" t="str">
        <f ca="1">IFERROR(_xludf.XLOOKUP($F161&amp;"."&amp;$G161,CaseSource!$A$2:$A$371,CaseSource!$B$2:$B$371,""),"")</f>
        <v/>
      </c>
    </row>
    <row r="162" spans="1:14" hidden="1" x14ac:dyDescent="0.2">
      <c r="A162" t="s">
        <v>588</v>
      </c>
      <c r="B162" t="s">
        <v>130</v>
      </c>
      <c r="C162" t="s">
        <v>266</v>
      </c>
      <c r="D162" t="s">
        <v>31</v>
      </c>
      <c r="H162">
        <v>1</v>
      </c>
      <c r="I162" t="s">
        <v>21</v>
      </c>
      <c r="J162" t="s">
        <v>22</v>
      </c>
      <c r="N162" t="str">
        <f ca="1">IFERROR(_xludf.XLOOKUP($F162&amp;"."&amp;$G162,CaseSource!$A$2:$A$371,CaseSource!$B$2:$B$371,""),"")</f>
        <v/>
      </c>
    </row>
    <row r="163" spans="1:14" hidden="1" x14ac:dyDescent="0.2">
      <c r="A163" t="s">
        <v>589</v>
      </c>
      <c r="B163" t="s">
        <v>130</v>
      </c>
      <c r="C163" t="s">
        <v>262</v>
      </c>
      <c r="D163" t="s">
        <v>31</v>
      </c>
      <c r="H163">
        <v>1</v>
      </c>
      <c r="I163" t="s">
        <v>21</v>
      </c>
      <c r="J163" t="s">
        <v>22</v>
      </c>
      <c r="N163" t="str">
        <f ca="1">IFERROR(_xludf.XLOOKUP($F163&amp;"."&amp;$G163,CaseSource!$A$2:$A$371,CaseSource!$B$2:$B$371,""),"")</f>
        <v/>
      </c>
    </row>
    <row r="164" spans="1:14" hidden="1" x14ac:dyDescent="0.2">
      <c r="A164" t="s">
        <v>590</v>
      </c>
      <c r="B164" t="s">
        <v>130</v>
      </c>
      <c r="C164" t="s">
        <v>443</v>
      </c>
      <c r="D164" t="s">
        <v>31</v>
      </c>
      <c r="H164">
        <v>1</v>
      </c>
      <c r="I164" t="s">
        <v>21</v>
      </c>
      <c r="J164" t="s">
        <v>22</v>
      </c>
      <c r="N164" t="str">
        <f ca="1">IFERROR(_xludf.XLOOKUP($F164&amp;"."&amp;$G164,CaseSource!$A$2:$A$371,CaseSource!$B$2:$B$371,""),"")</f>
        <v/>
      </c>
    </row>
    <row r="165" spans="1:14" hidden="1" x14ac:dyDescent="0.2">
      <c r="A165" t="s">
        <v>591</v>
      </c>
      <c r="B165" t="s">
        <v>130</v>
      </c>
      <c r="C165" t="s">
        <v>16</v>
      </c>
      <c r="D165" t="s">
        <v>31</v>
      </c>
      <c r="H165">
        <v>1</v>
      </c>
      <c r="I165" t="s">
        <v>21</v>
      </c>
      <c r="J165" t="s">
        <v>22</v>
      </c>
      <c r="N165" t="str">
        <f ca="1">IFERROR(_xludf.XLOOKUP($F165&amp;"."&amp;$G165,CaseSource!$A$2:$A$371,CaseSource!$B$2:$B$371,""),"")</f>
        <v/>
      </c>
    </row>
    <row r="166" spans="1:14" hidden="1" x14ac:dyDescent="0.2">
      <c r="A166" t="s">
        <v>609</v>
      </c>
      <c r="B166" t="s">
        <v>130</v>
      </c>
      <c r="C166" t="s">
        <v>346</v>
      </c>
      <c r="D166" t="s">
        <v>31</v>
      </c>
      <c r="H166">
        <v>1</v>
      </c>
      <c r="I166" t="s">
        <v>21</v>
      </c>
      <c r="J166" t="s">
        <v>22</v>
      </c>
      <c r="N166" t="str">
        <f ca="1">IFERROR(_xludf.XLOOKUP($F166&amp;"."&amp;$G166,CaseSource!$A$2:$A$371,CaseSource!$B$2:$B$371,""),"")</f>
        <v/>
      </c>
    </row>
    <row r="167" spans="1:14" hidden="1" x14ac:dyDescent="0.2">
      <c r="A167" t="s">
        <v>614</v>
      </c>
      <c r="B167" t="s">
        <v>130</v>
      </c>
      <c r="C167" t="s">
        <v>443</v>
      </c>
      <c r="D167" t="s">
        <v>31</v>
      </c>
      <c r="H167">
        <v>1</v>
      </c>
      <c r="I167" t="s">
        <v>21</v>
      </c>
      <c r="J167" t="s">
        <v>22</v>
      </c>
      <c r="N167" t="str">
        <f ca="1">IFERROR(_xludf.XLOOKUP($F167&amp;"."&amp;$G167,CaseSource!$A$2:$A$371,CaseSource!$B$2:$B$371,""),"")</f>
        <v/>
      </c>
    </row>
    <row r="168" spans="1:14" hidden="1" x14ac:dyDescent="0.2">
      <c r="A168" t="s">
        <v>627</v>
      </c>
      <c r="B168" t="s">
        <v>130</v>
      </c>
      <c r="C168" t="s">
        <v>356</v>
      </c>
      <c r="D168" t="s">
        <v>31</v>
      </c>
      <c r="H168">
        <v>1</v>
      </c>
      <c r="I168" t="s">
        <v>21</v>
      </c>
      <c r="J168" t="s">
        <v>22</v>
      </c>
      <c r="N168" t="str">
        <f ca="1">IFERROR(_xludf.XLOOKUP($F168&amp;"."&amp;$G168,CaseSource!$A$2:$A$371,CaseSource!$B$2:$B$371,""),"")</f>
        <v/>
      </c>
    </row>
    <row r="169" spans="1:14" hidden="1" x14ac:dyDescent="0.2">
      <c r="A169" t="s">
        <v>628</v>
      </c>
      <c r="B169" t="s">
        <v>130</v>
      </c>
      <c r="C169" t="s">
        <v>356</v>
      </c>
      <c r="D169" t="s">
        <v>31</v>
      </c>
      <c r="H169">
        <v>1</v>
      </c>
      <c r="I169" t="s">
        <v>21</v>
      </c>
      <c r="J169" t="s">
        <v>22</v>
      </c>
      <c r="N169" t="str">
        <f ca="1">IFERROR(_xludf.XLOOKUP($F169&amp;"."&amp;$G169,CaseSource!$A$2:$A$371,CaseSource!$B$2:$B$371,""),"")</f>
        <v/>
      </c>
    </row>
    <row r="170" spans="1:14" hidden="1" x14ac:dyDescent="0.2">
      <c r="A170" t="s">
        <v>86</v>
      </c>
      <c r="B170" t="s">
        <v>87</v>
      </c>
      <c r="C170" t="s">
        <v>80</v>
      </c>
      <c r="D170" t="s">
        <v>31</v>
      </c>
      <c r="F170" t="s">
        <v>24</v>
      </c>
      <c r="G170" t="s">
        <v>88</v>
      </c>
      <c r="H170">
        <v>1</v>
      </c>
      <c r="I170" t="s">
        <v>21</v>
      </c>
      <c r="J170" t="s">
        <v>22</v>
      </c>
      <c r="K170" t="s">
        <v>89</v>
      </c>
      <c r="N170" t="str">
        <f ca="1">IFERROR(_xludf.XLOOKUP($F170&amp;"."&amp;$G170,CaseSource!$A$2:$A$371,CaseSource!$B$2:$B$371,""),"")</f>
        <v/>
      </c>
    </row>
    <row r="171" spans="1:14" hidden="1" x14ac:dyDescent="0.2">
      <c r="A171" t="s">
        <v>86</v>
      </c>
      <c r="B171" t="s">
        <v>87</v>
      </c>
      <c r="C171" t="s">
        <v>80</v>
      </c>
      <c r="D171" t="s">
        <v>31</v>
      </c>
      <c r="F171" t="s">
        <v>24</v>
      </c>
      <c r="G171" t="s">
        <v>90</v>
      </c>
      <c r="H171">
        <v>2</v>
      </c>
      <c r="I171" t="s">
        <v>21</v>
      </c>
      <c r="J171" t="s">
        <v>22</v>
      </c>
      <c r="K171" t="s">
        <v>89</v>
      </c>
      <c r="N171" t="str">
        <f ca="1">IFERROR(_xludf.XLOOKUP($F171&amp;"."&amp;$G171,CaseSource!$A$2:$A$371,CaseSource!$B$2:$B$371,""),"")</f>
        <v/>
      </c>
    </row>
    <row r="172" spans="1:14" hidden="1" x14ac:dyDescent="0.2">
      <c r="A172" t="s">
        <v>86</v>
      </c>
      <c r="B172" t="s">
        <v>87</v>
      </c>
      <c r="C172" t="s">
        <v>80</v>
      </c>
      <c r="D172" t="s">
        <v>31</v>
      </c>
      <c r="F172" t="s">
        <v>24</v>
      </c>
      <c r="G172" t="s">
        <v>91</v>
      </c>
      <c r="H172">
        <v>3</v>
      </c>
      <c r="I172" t="s">
        <v>21</v>
      </c>
      <c r="J172" t="s">
        <v>22</v>
      </c>
      <c r="K172" t="s">
        <v>89</v>
      </c>
      <c r="N172" t="str">
        <f ca="1">IFERROR(_xludf.XLOOKUP($F172&amp;"."&amp;$G172,CaseSource!$A$2:$A$371,CaseSource!$B$2:$B$371,""),"")</f>
        <v/>
      </c>
    </row>
    <row r="173" spans="1:14" hidden="1" x14ac:dyDescent="0.2">
      <c r="A173" t="s">
        <v>86</v>
      </c>
      <c r="B173" t="s">
        <v>87</v>
      </c>
      <c r="C173" t="s">
        <v>80</v>
      </c>
      <c r="D173" t="s">
        <v>31</v>
      </c>
      <c r="F173" t="s">
        <v>24</v>
      </c>
      <c r="G173" t="s">
        <v>92</v>
      </c>
      <c r="H173">
        <v>4</v>
      </c>
      <c r="I173" t="s">
        <v>21</v>
      </c>
      <c r="J173" t="s">
        <v>22</v>
      </c>
      <c r="K173" t="s">
        <v>89</v>
      </c>
      <c r="N173" t="str">
        <f ca="1">IFERROR(_xludf.XLOOKUP($F173&amp;"."&amp;$G173,CaseSource!$A$2:$A$371,CaseSource!$B$2:$B$371,""),"")</f>
        <v/>
      </c>
    </row>
    <row r="174" spans="1:14" hidden="1" x14ac:dyDescent="0.2">
      <c r="A174" t="s">
        <v>86</v>
      </c>
      <c r="B174" t="s">
        <v>87</v>
      </c>
      <c r="C174" t="s">
        <v>80</v>
      </c>
      <c r="D174" t="s">
        <v>31</v>
      </c>
      <c r="F174" t="s">
        <v>19</v>
      </c>
      <c r="G174" t="s">
        <v>92</v>
      </c>
      <c r="H174">
        <v>5</v>
      </c>
      <c r="I174" t="s">
        <v>21</v>
      </c>
      <c r="J174" t="s">
        <v>22</v>
      </c>
      <c r="K174" t="s">
        <v>89</v>
      </c>
      <c r="N174" t="str">
        <f ca="1">IFERROR(_xludf.XLOOKUP($F174&amp;"."&amp;$G174,CaseSource!$A$2:$A$371,CaseSource!$B$2:$B$371,""),"")</f>
        <v/>
      </c>
    </row>
    <row r="175" spans="1:14" hidden="1" x14ac:dyDescent="0.2">
      <c r="A175" t="s">
        <v>86</v>
      </c>
      <c r="B175" t="s">
        <v>87</v>
      </c>
      <c r="C175" t="s">
        <v>80</v>
      </c>
      <c r="D175" t="s">
        <v>31</v>
      </c>
      <c r="F175" t="s">
        <v>19</v>
      </c>
      <c r="G175" t="s">
        <v>93</v>
      </c>
      <c r="H175">
        <v>6</v>
      </c>
      <c r="I175" t="s">
        <v>21</v>
      </c>
      <c r="J175" t="s">
        <v>22</v>
      </c>
      <c r="K175" t="s">
        <v>89</v>
      </c>
      <c r="N175" t="str">
        <f ca="1">IFERROR(_xludf.XLOOKUP($F175&amp;"."&amp;$G175,CaseSource!$A$2:$A$371,CaseSource!$B$2:$B$371,""),"")</f>
        <v/>
      </c>
    </row>
    <row r="176" spans="1:14" hidden="1" x14ac:dyDescent="0.2">
      <c r="A176" t="s">
        <v>86</v>
      </c>
      <c r="B176" t="s">
        <v>87</v>
      </c>
      <c r="C176" t="s">
        <v>80</v>
      </c>
      <c r="D176" t="s">
        <v>31</v>
      </c>
      <c r="F176" t="s">
        <v>19</v>
      </c>
      <c r="G176" t="s">
        <v>94</v>
      </c>
      <c r="H176">
        <v>7</v>
      </c>
      <c r="I176" t="s">
        <v>21</v>
      </c>
      <c r="J176" t="s">
        <v>22</v>
      </c>
      <c r="K176" t="s">
        <v>89</v>
      </c>
      <c r="N176" t="str">
        <f ca="1">IFERROR(_xludf.XLOOKUP($F176&amp;"."&amp;$G176,CaseSource!$A$2:$A$371,CaseSource!$B$2:$B$371,""),"")</f>
        <v/>
      </c>
    </row>
    <row r="177" spans="1:14" hidden="1" x14ac:dyDescent="0.2">
      <c r="A177" t="s">
        <v>95</v>
      </c>
      <c r="B177" t="s">
        <v>87</v>
      </c>
      <c r="C177" t="s">
        <v>96</v>
      </c>
      <c r="D177" t="s">
        <v>31</v>
      </c>
      <c r="F177" t="s">
        <v>24</v>
      </c>
      <c r="G177" t="s">
        <v>97</v>
      </c>
      <c r="H177">
        <v>1</v>
      </c>
      <c r="I177" t="s">
        <v>21</v>
      </c>
      <c r="J177" t="s">
        <v>22</v>
      </c>
      <c r="K177" t="s">
        <v>98</v>
      </c>
      <c r="N177" t="str">
        <f ca="1">IFERROR(_xludf.XLOOKUP($F177&amp;"."&amp;$G177,CaseSource!$A$2:$A$371,CaseSource!$B$2:$B$371,""),"")</f>
        <v/>
      </c>
    </row>
    <row r="178" spans="1:14" hidden="1" x14ac:dyDescent="0.2">
      <c r="A178" t="s">
        <v>95</v>
      </c>
      <c r="B178" t="s">
        <v>87</v>
      </c>
      <c r="C178" t="s">
        <v>96</v>
      </c>
      <c r="D178" t="s">
        <v>31</v>
      </c>
      <c r="F178" t="s">
        <v>24</v>
      </c>
      <c r="G178" t="s">
        <v>99</v>
      </c>
      <c r="H178">
        <v>2</v>
      </c>
      <c r="I178" t="s">
        <v>21</v>
      </c>
      <c r="J178" t="s">
        <v>22</v>
      </c>
      <c r="K178" t="s">
        <v>98</v>
      </c>
      <c r="N178" t="str">
        <f ca="1">IFERROR(_xludf.XLOOKUP($F178&amp;"."&amp;$G178,CaseSource!$A$2:$A$371,CaseSource!$B$2:$B$371,""),"")</f>
        <v/>
      </c>
    </row>
    <row r="179" spans="1:14" hidden="1" x14ac:dyDescent="0.2">
      <c r="A179" t="s">
        <v>100</v>
      </c>
      <c r="B179" t="s">
        <v>87</v>
      </c>
      <c r="C179" t="s">
        <v>80</v>
      </c>
      <c r="D179" t="s">
        <v>31</v>
      </c>
      <c r="F179" t="s">
        <v>24</v>
      </c>
      <c r="G179" t="s">
        <v>101</v>
      </c>
      <c r="H179">
        <v>1</v>
      </c>
      <c r="I179" t="s">
        <v>21</v>
      </c>
      <c r="J179" t="s">
        <v>22</v>
      </c>
      <c r="K179" t="s">
        <v>98</v>
      </c>
      <c r="N179" t="str">
        <f ca="1">IFERROR(_xludf.XLOOKUP($F179&amp;"."&amp;$G179,CaseSource!$A$2:$A$371,CaseSource!$B$2:$B$371,""),"")</f>
        <v/>
      </c>
    </row>
    <row r="180" spans="1:14" hidden="1" x14ac:dyDescent="0.2">
      <c r="A180" t="s">
        <v>100</v>
      </c>
      <c r="B180" t="s">
        <v>87</v>
      </c>
      <c r="C180" t="s">
        <v>80</v>
      </c>
      <c r="D180" t="s">
        <v>31</v>
      </c>
      <c r="F180" t="s">
        <v>24</v>
      </c>
      <c r="G180" t="s">
        <v>102</v>
      </c>
      <c r="H180">
        <v>2</v>
      </c>
      <c r="I180" t="s">
        <v>21</v>
      </c>
      <c r="J180" t="s">
        <v>22</v>
      </c>
      <c r="K180" t="s">
        <v>98</v>
      </c>
      <c r="N180" t="str">
        <f ca="1">IFERROR(_xludf.XLOOKUP($F180&amp;"."&amp;$G180,CaseSource!$A$2:$A$371,CaseSource!$B$2:$B$371,""),"")</f>
        <v/>
      </c>
    </row>
    <row r="181" spans="1:14" hidden="1" x14ac:dyDescent="0.2">
      <c r="A181" t="s">
        <v>103</v>
      </c>
      <c r="B181" t="s">
        <v>87</v>
      </c>
      <c r="C181" t="s">
        <v>80</v>
      </c>
      <c r="D181" t="s">
        <v>31</v>
      </c>
      <c r="F181" t="s">
        <v>24</v>
      </c>
      <c r="G181" t="s">
        <v>104</v>
      </c>
      <c r="H181">
        <v>1</v>
      </c>
      <c r="I181" t="s">
        <v>21</v>
      </c>
      <c r="J181" t="s">
        <v>22</v>
      </c>
      <c r="K181" t="s">
        <v>105</v>
      </c>
      <c r="N181" t="str">
        <f ca="1">IFERROR(_xludf.XLOOKUP($F181&amp;"."&amp;$G181,CaseSource!$A$2:$A$371,CaseSource!$B$2:$B$371,""),"")</f>
        <v/>
      </c>
    </row>
    <row r="182" spans="1:14" hidden="1" x14ac:dyDescent="0.2">
      <c r="A182" t="s">
        <v>106</v>
      </c>
      <c r="B182" t="s">
        <v>87</v>
      </c>
      <c r="C182" t="s">
        <v>107</v>
      </c>
      <c r="D182" t="s">
        <v>31</v>
      </c>
      <c r="F182" t="s">
        <v>19</v>
      </c>
      <c r="G182" t="s">
        <v>108</v>
      </c>
      <c r="H182">
        <v>1</v>
      </c>
      <c r="I182" t="s">
        <v>21</v>
      </c>
      <c r="J182" t="s">
        <v>22</v>
      </c>
      <c r="K182" t="s">
        <v>109</v>
      </c>
      <c r="N182" t="str">
        <f ca="1">IFERROR(_xludf.XLOOKUP($F182&amp;"."&amp;$G182,CaseSource!$A$2:$A$371,CaseSource!$B$2:$B$371,""),"")</f>
        <v/>
      </c>
    </row>
    <row r="183" spans="1:14" hidden="1" x14ac:dyDescent="0.2">
      <c r="A183" t="s">
        <v>110</v>
      </c>
      <c r="B183" t="s">
        <v>87</v>
      </c>
      <c r="C183" t="s">
        <v>107</v>
      </c>
      <c r="D183" t="s">
        <v>31</v>
      </c>
      <c r="F183" t="s">
        <v>19</v>
      </c>
      <c r="G183" t="s">
        <v>111</v>
      </c>
      <c r="H183">
        <v>1</v>
      </c>
      <c r="I183" t="s">
        <v>112</v>
      </c>
      <c r="J183" t="s">
        <v>22</v>
      </c>
      <c r="K183" t="s">
        <v>113</v>
      </c>
      <c r="N183" t="str">
        <f ca="1">IFERROR(_xludf.XLOOKUP($F183&amp;"."&amp;$G183,CaseSource!$A$2:$A$371,CaseSource!$B$2:$B$371,""),"")</f>
        <v/>
      </c>
    </row>
    <row r="184" spans="1:14" hidden="1" x14ac:dyDescent="0.2">
      <c r="A184" t="s">
        <v>119</v>
      </c>
      <c r="B184" t="s">
        <v>87</v>
      </c>
      <c r="C184" t="s">
        <v>120</v>
      </c>
      <c r="D184" t="s">
        <v>31</v>
      </c>
      <c r="F184" t="s">
        <v>19</v>
      </c>
      <c r="G184" t="s">
        <v>121</v>
      </c>
      <c r="H184">
        <v>1</v>
      </c>
      <c r="I184" t="s">
        <v>21</v>
      </c>
      <c r="J184" t="s">
        <v>22</v>
      </c>
      <c r="K184" t="s">
        <v>122</v>
      </c>
      <c r="N184" t="str">
        <f ca="1">IFERROR(_xludf.XLOOKUP($F184&amp;"."&amp;$G184,CaseSource!$A$2:$A$371,CaseSource!$B$2:$B$371,""),"")</f>
        <v/>
      </c>
    </row>
    <row r="185" spans="1:14" hidden="1" x14ac:dyDescent="0.2">
      <c r="A185" t="s">
        <v>119</v>
      </c>
      <c r="B185" t="s">
        <v>87</v>
      </c>
      <c r="C185" t="s">
        <v>120</v>
      </c>
      <c r="D185" t="s">
        <v>31</v>
      </c>
      <c r="F185" t="s">
        <v>19</v>
      </c>
      <c r="G185" t="s">
        <v>123</v>
      </c>
      <c r="H185">
        <v>2</v>
      </c>
      <c r="I185" t="s">
        <v>21</v>
      </c>
      <c r="J185" t="s">
        <v>22</v>
      </c>
      <c r="K185" t="s">
        <v>122</v>
      </c>
      <c r="N185" t="str">
        <f ca="1">IFERROR(_xludf.XLOOKUP($F185&amp;"."&amp;$G185,CaseSource!$A$2:$A$371,CaseSource!$B$2:$B$371,""),"")</f>
        <v/>
      </c>
    </row>
    <row r="186" spans="1:14" hidden="1" x14ac:dyDescent="0.2">
      <c r="A186" t="s">
        <v>119</v>
      </c>
      <c r="B186" t="s">
        <v>87</v>
      </c>
      <c r="C186" t="s">
        <v>120</v>
      </c>
      <c r="D186" t="s">
        <v>31</v>
      </c>
      <c r="F186" t="s">
        <v>24</v>
      </c>
      <c r="G186" t="s">
        <v>121</v>
      </c>
      <c r="H186">
        <v>3</v>
      </c>
      <c r="I186" t="s">
        <v>21</v>
      </c>
      <c r="J186" t="s">
        <v>22</v>
      </c>
      <c r="K186" t="s">
        <v>122</v>
      </c>
      <c r="N186" t="str">
        <f ca="1">IFERROR(_xludf.XLOOKUP($F186&amp;"."&amp;$G186,CaseSource!$A$2:$A$371,CaseSource!$B$2:$B$371,""),"")</f>
        <v/>
      </c>
    </row>
    <row r="187" spans="1:14" hidden="1" x14ac:dyDescent="0.2">
      <c r="A187" t="s">
        <v>124</v>
      </c>
      <c r="B187" t="s">
        <v>87</v>
      </c>
      <c r="C187" t="s">
        <v>80</v>
      </c>
      <c r="D187" t="s">
        <v>31</v>
      </c>
      <c r="F187" t="s">
        <v>19</v>
      </c>
      <c r="G187" t="s">
        <v>125</v>
      </c>
      <c r="H187">
        <v>1</v>
      </c>
      <c r="I187" t="s">
        <v>21</v>
      </c>
      <c r="J187" t="s">
        <v>22</v>
      </c>
      <c r="K187" t="s">
        <v>126</v>
      </c>
      <c r="N187" t="str">
        <f ca="1">IFERROR(_xludf.XLOOKUP($F187&amp;"."&amp;$G187,CaseSource!$A$2:$A$371,CaseSource!$B$2:$B$371,""),"")</f>
        <v/>
      </c>
    </row>
    <row r="188" spans="1:14" hidden="1" x14ac:dyDescent="0.2">
      <c r="A188" t="s">
        <v>127</v>
      </c>
      <c r="B188" t="s">
        <v>87</v>
      </c>
      <c r="C188" t="s">
        <v>107</v>
      </c>
      <c r="D188" t="s">
        <v>31</v>
      </c>
      <c r="F188" t="s">
        <v>24</v>
      </c>
      <c r="G188" t="s">
        <v>28</v>
      </c>
      <c r="H188">
        <v>1</v>
      </c>
      <c r="I188" t="s">
        <v>21</v>
      </c>
      <c r="J188" t="s">
        <v>22</v>
      </c>
      <c r="K188" t="s">
        <v>128</v>
      </c>
      <c r="N188" t="str">
        <f ca="1">IFERROR(_xludf.XLOOKUP($F188&amp;"."&amp;$G188,CaseSource!$A$2:$A$371,CaseSource!$B$2:$B$371,""),"")</f>
        <v/>
      </c>
    </row>
    <row r="189" spans="1:14" hidden="1" x14ac:dyDescent="0.2">
      <c r="A189" t="s">
        <v>140</v>
      </c>
      <c r="B189" t="s">
        <v>87</v>
      </c>
      <c r="C189" t="s">
        <v>107</v>
      </c>
      <c r="D189" t="s">
        <v>31</v>
      </c>
      <c r="F189" t="s">
        <v>19</v>
      </c>
      <c r="G189" t="s">
        <v>37</v>
      </c>
      <c r="H189">
        <v>1</v>
      </c>
      <c r="I189" t="s">
        <v>21</v>
      </c>
      <c r="J189" t="s">
        <v>22</v>
      </c>
      <c r="K189" t="s">
        <v>141</v>
      </c>
      <c r="N189" t="str">
        <f ca="1">IFERROR(_xludf.XLOOKUP($F189&amp;"."&amp;$G189,CaseSource!$A$2:$A$371,CaseSource!$B$2:$B$371,""),"")</f>
        <v/>
      </c>
    </row>
    <row r="190" spans="1:14" hidden="1" x14ac:dyDescent="0.2">
      <c r="A190" t="s">
        <v>140</v>
      </c>
      <c r="B190" t="s">
        <v>87</v>
      </c>
      <c r="C190" t="s">
        <v>107</v>
      </c>
      <c r="D190" t="s">
        <v>31</v>
      </c>
      <c r="F190" t="s">
        <v>24</v>
      </c>
      <c r="G190" t="s">
        <v>38</v>
      </c>
      <c r="H190">
        <v>2</v>
      </c>
      <c r="I190" t="s">
        <v>21</v>
      </c>
      <c r="J190" t="s">
        <v>22</v>
      </c>
      <c r="K190" t="s">
        <v>141</v>
      </c>
      <c r="N190" t="str">
        <f ca="1">IFERROR(_xludf.XLOOKUP($F190&amp;"."&amp;$G190,CaseSource!$A$2:$A$371,CaseSource!$B$2:$B$371,""),"")</f>
        <v/>
      </c>
    </row>
    <row r="191" spans="1:14" hidden="1" x14ac:dyDescent="0.2">
      <c r="A191" t="s">
        <v>142</v>
      </c>
      <c r="B191" t="s">
        <v>87</v>
      </c>
      <c r="C191" t="s">
        <v>16</v>
      </c>
      <c r="D191" t="s">
        <v>31</v>
      </c>
      <c r="F191" t="s">
        <v>143</v>
      </c>
      <c r="G191" t="s">
        <v>144</v>
      </c>
      <c r="H191">
        <v>1</v>
      </c>
      <c r="I191" t="s">
        <v>21</v>
      </c>
      <c r="J191" t="s">
        <v>22</v>
      </c>
      <c r="K191" t="s">
        <v>141</v>
      </c>
      <c r="N191" t="str">
        <f ca="1">IFERROR(_xludf.XLOOKUP($F191&amp;"."&amp;$G191,CaseSource!$A$2:$A$371,CaseSource!$B$2:$B$371,""),"")</f>
        <v/>
      </c>
    </row>
    <row r="192" spans="1:14" hidden="1" x14ac:dyDescent="0.2">
      <c r="A192" t="s">
        <v>145</v>
      </c>
      <c r="B192" t="s">
        <v>87</v>
      </c>
      <c r="C192" t="s">
        <v>146</v>
      </c>
      <c r="D192" t="s">
        <v>31</v>
      </c>
      <c r="F192" t="s">
        <v>143</v>
      </c>
      <c r="G192" t="s">
        <v>147</v>
      </c>
      <c r="H192">
        <v>1</v>
      </c>
      <c r="I192" t="s">
        <v>21</v>
      </c>
      <c r="J192" t="s">
        <v>22</v>
      </c>
      <c r="K192" t="s">
        <v>98</v>
      </c>
      <c r="N192" t="str">
        <f ca="1">IFERROR(_xludf.XLOOKUP($F192&amp;"."&amp;$G192,CaseSource!$A$2:$A$371,CaseSource!$B$2:$B$371,""),"")</f>
        <v/>
      </c>
    </row>
    <row r="193" spans="1:14" hidden="1" x14ac:dyDescent="0.2">
      <c r="A193" t="s">
        <v>145</v>
      </c>
      <c r="B193" t="s">
        <v>87</v>
      </c>
      <c r="C193" t="s">
        <v>146</v>
      </c>
      <c r="D193" t="s">
        <v>31</v>
      </c>
      <c r="F193" t="s">
        <v>143</v>
      </c>
      <c r="G193" t="s">
        <v>148</v>
      </c>
      <c r="H193">
        <v>2</v>
      </c>
      <c r="I193" t="s">
        <v>21</v>
      </c>
      <c r="J193" t="s">
        <v>22</v>
      </c>
      <c r="K193" t="s">
        <v>98</v>
      </c>
      <c r="N193" t="str">
        <f ca="1">IFERROR(_xludf.XLOOKUP($F193&amp;"."&amp;$G193,CaseSource!$A$2:$A$371,CaseSource!$B$2:$B$371,""),"")</f>
        <v/>
      </c>
    </row>
    <row r="194" spans="1:14" hidden="1" x14ac:dyDescent="0.2">
      <c r="A194" t="s">
        <v>149</v>
      </c>
      <c r="B194" t="s">
        <v>87</v>
      </c>
      <c r="C194" t="s">
        <v>146</v>
      </c>
      <c r="D194" t="s">
        <v>31</v>
      </c>
      <c r="F194" t="s">
        <v>143</v>
      </c>
      <c r="G194" t="s">
        <v>150</v>
      </c>
      <c r="H194">
        <v>1</v>
      </c>
      <c r="I194" t="s">
        <v>21</v>
      </c>
      <c r="J194" t="s">
        <v>22</v>
      </c>
      <c r="K194" t="s">
        <v>98</v>
      </c>
      <c r="N194" t="str">
        <f ca="1">IFERROR(_xludf.XLOOKUP($F194&amp;"."&amp;$G194,CaseSource!$A$2:$A$371,CaseSource!$B$2:$B$371,""),"")</f>
        <v/>
      </c>
    </row>
    <row r="195" spans="1:14" hidden="1" x14ac:dyDescent="0.2">
      <c r="A195" t="s">
        <v>153</v>
      </c>
      <c r="B195" t="s">
        <v>87</v>
      </c>
      <c r="C195" t="s">
        <v>154</v>
      </c>
      <c r="D195" t="s">
        <v>31</v>
      </c>
      <c r="F195" t="s">
        <v>24</v>
      </c>
      <c r="G195" t="s">
        <v>152</v>
      </c>
      <c r="H195">
        <v>1</v>
      </c>
      <c r="I195" t="s">
        <v>21</v>
      </c>
      <c r="J195" t="s">
        <v>22</v>
      </c>
      <c r="K195" t="s">
        <v>126</v>
      </c>
      <c r="N195" t="str">
        <f ca="1">IFERROR(_xludf.XLOOKUP($F195&amp;"."&amp;$G195,CaseSource!$A$2:$A$371,CaseSource!$B$2:$B$371,""),"")</f>
        <v/>
      </c>
    </row>
    <row r="196" spans="1:14" hidden="1" x14ac:dyDescent="0.2">
      <c r="A196" t="s">
        <v>155</v>
      </c>
      <c r="B196" t="s">
        <v>87</v>
      </c>
      <c r="C196" t="s">
        <v>96</v>
      </c>
      <c r="D196" t="s">
        <v>31</v>
      </c>
      <c r="F196" t="s">
        <v>24</v>
      </c>
      <c r="G196" t="s">
        <v>156</v>
      </c>
      <c r="H196">
        <v>1</v>
      </c>
      <c r="I196" t="s">
        <v>21</v>
      </c>
      <c r="J196" t="s">
        <v>22</v>
      </c>
      <c r="K196" t="s">
        <v>157</v>
      </c>
      <c r="N196" t="str">
        <f ca="1">IFERROR(_xludf.XLOOKUP($F196&amp;"."&amp;$G196,CaseSource!$A$2:$A$371,CaseSource!$B$2:$B$371,""),"")</f>
        <v/>
      </c>
    </row>
    <row r="197" spans="1:14" hidden="1" x14ac:dyDescent="0.2">
      <c r="A197" t="s">
        <v>158</v>
      </c>
      <c r="B197" t="s">
        <v>87</v>
      </c>
      <c r="C197" t="s">
        <v>96</v>
      </c>
      <c r="D197" t="s">
        <v>31</v>
      </c>
      <c r="F197" t="s">
        <v>24</v>
      </c>
      <c r="G197" t="s">
        <v>159</v>
      </c>
      <c r="H197">
        <v>1</v>
      </c>
      <c r="I197" t="s">
        <v>21</v>
      </c>
      <c r="J197" t="s">
        <v>22</v>
      </c>
      <c r="K197" t="s">
        <v>160</v>
      </c>
      <c r="N197" t="str">
        <f ca="1">IFERROR(_xludf.XLOOKUP($F197&amp;"."&amp;$G197,CaseSource!$A$2:$A$371,CaseSource!$B$2:$B$371,""),"")</f>
        <v/>
      </c>
    </row>
    <row r="198" spans="1:14" hidden="1" x14ac:dyDescent="0.2">
      <c r="A198" t="s">
        <v>161</v>
      </c>
      <c r="B198" t="s">
        <v>87</v>
      </c>
      <c r="C198" t="s">
        <v>96</v>
      </c>
      <c r="D198" t="s">
        <v>31</v>
      </c>
      <c r="F198" t="s">
        <v>24</v>
      </c>
      <c r="G198" t="s">
        <v>162</v>
      </c>
      <c r="H198">
        <v>1</v>
      </c>
      <c r="I198" t="s">
        <v>21</v>
      </c>
      <c r="J198" t="s">
        <v>22</v>
      </c>
      <c r="K198" t="s">
        <v>98</v>
      </c>
      <c r="N198" t="str">
        <f ca="1">IFERROR(_xludf.XLOOKUP($F198&amp;"."&amp;$G198,CaseSource!$A$2:$A$371,CaseSource!$B$2:$B$371,""),"")</f>
        <v/>
      </c>
    </row>
    <row r="199" spans="1:14" hidden="1" x14ac:dyDescent="0.2">
      <c r="A199" t="s">
        <v>163</v>
      </c>
      <c r="B199" t="s">
        <v>87</v>
      </c>
      <c r="C199" t="s">
        <v>96</v>
      </c>
      <c r="D199" t="s">
        <v>31</v>
      </c>
      <c r="F199" t="s">
        <v>24</v>
      </c>
      <c r="G199" t="s">
        <v>164</v>
      </c>
      <c r="H199">
        <v>1</v>
      </c>
      <c r="I199" t="s">
        <v>21</v>
      </c>
      <c r="J199" t="s">
        <v>22</v>
      </c>
      <c r="K199" t="s">
        <v>98</v>
      </c>
      <c r="N199" t="str">
        <f ca="1">IFERROR(_xludf.XLOOKUP($F199&amp;"."&amp;$G199,CaseSource!$A$2:$A$371,CaseSource!$B$2:$B$371,""),"")</f>
        <v/>
      </c>
    </row>
    <row r="200" spans="1:14" hidden="1" x14ac:dyDescent="0.2">
      <c r="A200" t="s">
        <v>170</v>
      </c>
      <c r="B200" t="s">
        <v>87</v>
      </c>
      <c r="C200" t="s">
        <v>96</v>
      </c>
      <c r="D200" t="s">
        <v>31</v>
      </c>
      <c r="F200" t="s">
        <v>24</v>
      </c>
      <c r="G200" t="s">
        <v>171</v>
      </c>
      <c r="H200">
        <v>1</v>
      </c>
      <c r="I200" t="s">
        <v>21</v>
      </c>
      <c r="J200" t="s">
        <v>22</v>
      </c>
      <c r="K200" t="s">
        <v>160</v>
      </c>
      <c r="N200" t="str">
        <f ca="1">IFERROR(_xludf.XLOOKUP($F200&amp;"."&amp;$G200,CaseSource!$A$2:$A$371,CaseSource!$B$2:$B$371,""),"")</f>
        <v/>
      </c>
    </row>
    <row r="201" spans="1:14" hidden="1" x14ac:dyDescent="0.2">
      <c r="A201" t="s">
        <v>175</v>
      </c>
      <c r="B201" t="s">
        <v>87</v>
      </c>
      <c r="C201" t="s">
        <v>96</v>
      </c>
      <c r="D201" t="s">
        <v>31</v>
      </c>
      <c r="F201" t="s">
        <v>24</v>
      </c>
      <c r="G201" t="s">
        <v>176</v>
      </c>
      <c r="H201">
        <v>1</v>
      </c>
      <c r="I201" t="s">
        <v>21</v>
      </c>
      <c r="J201" t="s">
        <v>22</v>
      </c>
      <c r="K201" t="s">
        <v>126</v>
      </c>
      <c r="N201" t="str">
        <f ca="1">IFERROR(_xludf.XLOOKUP($F201&amp;"."&amp;$G201,CaseSource!$A$2:$A$371,CaseSource!$B$2:$B$371,""),"")</f>
        <v/>
      </c>
    </row>
    <row r="202" spans="1:14" hidden="1" x14ac:dyDescent="0.2">
      <c r="A202" t="s">
        <v>178</v>
      </c>
      <c r="B202" t="s">
        <v>87</v>
      </c>
      <c r="C202" t="s">
        <v>96</v>
      </c>
      <c r="D202" t="s">
        <v>31</v>
      </c>
      <c r="F202" t="s">
        <v>24</v>
      </c>
      <c r="G202" t="s">
        <v>179</v>
      </c>
      <c r="H202">
        <v>1</v>
      </c>
      <c r="I202" t="s">
        <v>21</v>
      </c>
      <c r="J202" t="s">
        <v>22</v>
      </c>
      <c r="K202" t="s">
        <v>98</v>
      </c>
      <c r="N202" t="str">
        <f ca="1">IFERROR(_xludf.XLOOKUP($F202&amp;"."&amp;$G202,CaseSource!$A$2:$A$371,CaseSource!$B$2:$B$371,""),"")</f>
        <v/>
      </c>
    </row>
    <row r="203" spans="1:14" hidden="1" x14ac:dyDescent="0.2">
      <c r="A203" t="s">
        <v>180</v>
      </c>
      <c r="B203" t="s">
        <v>87</v>
      </c>
      <c r="C203" t="s">
        <v>96</v>
      </c>
      <c r="D203" t="s">
        <v>31</v>
      </c>
      <c r="F203" t="s">
        <v>24</v>
      </c>
      <c r="G203" t="s">
        <v>179</v>
      </c>
      <c r="H203">
        <v>1</v>
      </c>
      <c r="I203" t="s">
        <v>21</v>
      </c>
      <c r="J203" t="s">
        <v>22</v>
      </c>
      <c r="K203" t="s">
        <v>98</v>
      </c>
      <c r="N203" t="str">
        <f ca="1">IFERROR(_xludf.XLOOKUP($F203&amp;"."&amp;$G203,CaseSource!$A$2:$A$371,CaseSource!$B$2:$B$371,""),"")</f>
        <v/>
      </c>
    </row>
    <row r="204" spans="1:14" hidden="1" x14ac:dyDescent="0.2">
      <c r="A204" t="s">
        <v>181</v>
      </c>
      <c r="B204" t="s">
        <v>87</v>
      </c>
      <c r="C204" t="s">
        <v>182</v>
      </c>
      <c r="D204" t="s">
        <v>31</v>
      </c>
      <c r="F204" t="s">
        <v>24</v>
      </c>
      <c r="G204" t="s">
        <v>183</v>
      </c>
      <c r="H204">
        <v>1</v>
      </c>
      <c r="I204" t="s">
        <v>21</v>
      </c>
      <c r="J204" t="s">
        <v>22</v>
      </c>
      <c r="K204" t="s">
        <v>160</v>
      </c>
      <c r="N204" t="str">
        <f ca="1">IFERROR(_xludf.XLOOKUP($F204&amp;"."&amp;$G204,CaseSource!$A$2:$A$371,CaseSource!$B$2:$B$371,""),"")</f>
        <v/>
      </c>
    </row>
    <row r="205" spans="1:14" hidden="1" x14ac:dyDescent="0.2">
      <c r="A205" t="s">
        <v>184</v>
      </c>
      <c r="B205" t="s">
        <v>87</v>
      </c>
      <c r="C205" t="s">
        <v>182</v>
      </c>
      <c r="D205" t="s">
        <v>31</v>
      </c>
      <c r="F205" t="s">
        <v>24</v>
      </c>
      <c r="G205" t="s">
        <v>185</v>
      </c>
      <c r="H205">
        <v>1</v>
      </c>
      <c r="I205" t="s">
        <v>21</v>
      </c>
      <c r="J205" t="s">
        <v>22</v>
      </c>
      <c r="K205" t="s">
        <v>160</v>
      </c>
      <c r="N205" t="str">
        <f ca="1">IFERROR(_xludf.XLOOKUP($F205&amp;"."&amp;$G205,CaseSource!$A$2:$A$371,CaseSource!$B$2:$B$371,""),"")</f>
        <v/>
      </c>
    </row>
    <row r="206" spans="1:14" hidden="1" x14ac:dyDescent="0.2">
      <c r="A206" t="s">
        <v>184</v>
      </c>
      <c r="B206" t="s">
        <v>87</v>
      </c>
      <c r="C206" t="s">
        <v>182</v>
      </c>
      <c r="D206" t="s">
        <v>31</v>
      </c>
      <c r="F206" t="s">
        <v>24</v>
      </c>
      <c r="G206" t="s">
        <v>186</v>
      </c>
      <c r="H206">
        <v>2</v>
      </c>
      <c r="I206" t="s">
        <v>21</v>
      </c>
      <c r="J206" t="s">
        <v>22</v>
      </c>
      <c r="K206" t="s">
        <v>160</v>
      </c>
      <c r="N206" t="str">
        <f ca="1">IFERROR(_xludf.XLOOKUP($F206&amp;"."&amp;$G206,CaseSource!$A$2:$A$371,CaseSource!$B$2:$B$371,""),"")</f>
        <v/>
      </c>
    </row>
    <row r="207" spans="1:14" hidden="1" x14ac:dyDescent="0.2">
      <c r="A207" t="s">
        <v>187</v>
      </c>
      <c r="B207" t="s">
        <v>87</v>
      </c>
      <c r="C207" t="s">
        <v>182</v>
      </c>
      <c r="D207" t="s">
        <v>31</v>
      </c>
      <c r="F207" t="s">
        <v>24</v>
      </c>
      <c r="G207" t="s">
        <v>186</v>
      </c>
      <c r="H207">
        <v>1</v>
      </c>
      <c r="I207" t="s">
        <v>21</v>
      </c>
      <c r="J207" t="s">
        <v>22</v>
      </c>
      <c r="K207" t="s">
        <v>188</v>
      </c>
      <c r="N207" t="str">
        <f ca="1">IFERROR(_xludf.XLOOKUP($F207&amp;"."&amp;$G207,CaseSource!$A$2:$A$371,CaseSource!$B$2:$B$371,""),"")</f>
        <v/>
      </c>
    </row>
    <row r="208" spans="1:14" hidden="1" x14ac:dyDescent="0.2">
      <c r="A208" t="s">
        <v>189</v>
      </c>
      <c r="B208" t="s">
        <v>87</v>
      </c>
      <c r="C208" t="s">
        <v>190</v>
      </c>
      <c r="D208" t="s">
        <v>31</v>
      </c>
      <c r="F208" t="s">
        <v>64</v>
      </c>
      <c r="G208" t="s">
        <v>191</v>
      </c>
      <c r="H208">
        <v>1</v>
      </c>
      <c r="I208" t="s">
        <v>21</v>
      </c>
      <c r="J208" t="s">
        <v>22</v>
      </c>
      <c r="K208" t="s">
        <v>98</v>
      </c>
      <c r="N208" t="str">
        <f ca="1">IFERROR(_xludf.XLOOKUP($F208&amp;"."&amp;$G208,CaseSource!$A$2:$A$371,CaseSource!$B$2:$B$371,""),"")</f>
        <v/>
      </c>
    </row>
    <row r="209" spans="1:14" hidden="1" x14ac:dyDescent="0.2">
      <c r="A209" t="s">
        <v>189</v>
      </c>
      <c r="B209" t="s">
        <v>87</v>
      </c>
      <c r="C209" t="s">
        <v>190</v>
      </c>
      <c r="D209" t="s">
        <v>31</v>
      </c>
      <c r="F209" t="s">
        <v>24</v>
      </c>
      <c r="G209" t="s">
        <v>192</v>
      </c>
      <c r="H209">
        <v>2</v>
      </c>
      <c r="I209" t="s">
        <v>21</v>
      </c>
      <c r="J209" t="s">
        <v>22</v>
      </c>
      <c r="K209" t="s">
        <v>98</v>
      </c>
      <c r="N209" t="str">
        <f ca="1">IFERROR(_xludf.XLOOKUP($F209&amp;"."&amp;$G209,CaseSource!$A$2:$A$371,CaseSource!$B$2:$B$371,""),"")</f>
        <v/>
      </c>
    </row>
    <row r="210" spans="1:14" hidden="1" x14ac:dyDescent="0.2">
      <c r="A210" t="s">
        <v>193</v>
      </c>
      <c r="B210" t="s">
        <v>87</v>
      </c>
      <c r="C210" t="s">
        <v>182</v>
      </c>
      <c r="D210" t="s">
        <v>31</v>
      </c>
      <c r="F210" t="s">
        <v>24</v>
      </c>
      <c r="G210" t="s">
        <v>194</v>
      </c>
      <c r="H210">
        <v>1</v>
      </c>
      <c r="I210" t="s">
        <v>21</v>
      </c>
      <c r="J210" t="s">
        <v>22</v>
      </c>
      <c r="K210" t="s">
        <v>126</v>
      </c>
      <c r="N210" t="str">
        <f ca="1">IFERROR(_xludf.XLOOKUP($F210&amp;"."&amp;$G210,CaseSource!$A$2:$A$371,CaseSource!$B$2:$B$371,""),"")</f>
        <v/>
      </c>
    </row>
    <row r="211" spans="1:14" hidden="1" x14ac:dyDescent="0.2">
      <c r="A211" t="s">
        <v>195</v>
      </c>
      <c r="B211" t="s">
        <v>87</v>
      </c>
      <c r="C211" t="s">
        <v>182</v>
      </c>
      <c r="D211" t="s">
        <v>31</v>
      </c>
      <c r="F211" t="s">
        <v>24</v>
      </c>
      <c r="G211" t="s">
        <v>194</v>
      </c>
      <c r="H211">
        <v>1</v>
      </c>
      <c r="I211" t="s">
        <v>21</v>
      </c>
      <c r="J211" t="s">
        <v>22</v>
      </c>
      <c r="K211" t="s">
        <v>126</v>
      </c>
      <c r="N211" t="str">
        <f ca="1">IFERROR(_xludf.XLOOKUP($F211&amp;"."&amp;$G211,CaseSource!$A$2:$A$371,CaseSource!$B$2:$B$371,""),"")</f>
        <v/>
      </c>
    </row>
    <row r="212" spans="1:14" hidden="1" x14ac:dyDescent="0.2">
      <c r="A212" t="s">
        <v>196</v>
      </c>
      <c r="B212" t="s">
        <v>87</v>
      </c>
      <c r="C212" t="s">
        <v>182</v>
      </c>
      <c r="D212" t="s">
        <v>31</v>
      </c>
      <c r="F212" t="s">
        <v>24</v>
      </c>
      <c r="G212" t="s">
        <v>88</v>
      </c>
      <c r="H212">
        <v>1</v>
      </c>
      <c r="I212" t="s">
        <v>21</v>
      </c>
      <c r="J212" t="s">
        <v>22</v>
      </c>
      <c r="K212" t="s">
        <v>98</v>
      </c>
      <c r="N212" t="str">
        <f ca="1">IFERROR(_xludf.XLOOKUP($F212&amp;"."&amp;$G212,CaseSource!$A$2:$A$371,CaseSource!$B$2:$B$371,""),"")</f>
        <v/>
      </c>
    </row>
    <row r="213" spans="1:14" hidden="1" x14ac:dyDescent="0.2">
      <c r="A213" t="s">
        <v>197</v>
      </c>
      <c r="B213" t="s">
        <v>87</v>
      </c>
      <c r="C213" t="s">
        <v>182</v>
      </c>
      <c r="D213" t="s">
        <v>31</v>
      </c>
      <c r="F213" t="s">
        <v>24</v>
      </c>
      <c r="G213" t="s">
        <v>97</v>
      </c>
      <c r="H213">
        <v>1</v>
      </c>
      <c r="I213" t="s">
        <v>21</v>
      </c>
      <c r="J213" t="s">
        <v>22</v>
      </c>
      <c r="K213" t="s">
        <v>98</v>
      </c>
      <c r="N213" t="str">
        <f ca="1">IFERROR(_xludf.XLOOKUP($F213&amp;"."&amp;$G213,CaseSource!$A$2:$A$371,CaseSource!$B$2:$B$371,""),"")</f>
        <v/>
      </c>
    </row>
    <row r="214" spans="1:14" hidden="1" x14ac:dyDescent="0.2">
      <c r="A214" t="s">
        <v>198</v>
      </c>
      <c r="B214" t="s">
        <v>87</v>
      </c>
      <c r="C214" t="s">
        <v>182</v>
      </c>
      <c r="D214" t="s">
        <v>31</v>
      </c>
      <c r="F214" t="s">
        <v>24</v>
      </c>
      <c r="G214" t="s">
        <v>101</v>
      </c>
      <c r="H214">
        <v>1</v>
      </c>
      <c r="I214" t="s">
        <v>21</v>
      </c>
      <c r="J214" t="s">
        <v>22</v>
      </c>
      <c r="K214" t="s">
        <v>98</v>
      </c>
      <c r="N214" t="str">
        <f ca="1">IFERROR(_xludf.XLOOKUP($F214&amp;"."&amp;$G214,CaseSource!$A$2:$A$371,CaseSource!$B$2:$B$371,""),"")</f>
        <v/>
      </c>
    </row>
    <row r="215" spans="1:14" hidden="1" x14ac:dyDescent="0.2">
      <c r="A215" t="s">
        <v>220</v>
      </c>
      <c r="B215" t="s">
        <v>87</v>
      </c>
      <c r="C215" t="s">
        <v>221</v>
      </c>
      <c r="D215" t="s">
        <v>222</v>
      </c>
      <c r="E215" t="s">
        <v>223</v>
      </c>
      <c r="F215" t="s">
        <v>224</v>
      </c>
      <c r="G215" t="s">
        <v>225</v>
      </c>
      <c r="H215">
        <v>1</v>
      </c>
      <c r="I215" t="s">
        <v>21</v>
      </c>
      <c r="J215" t="s">
        <v>22</v>
      </c>
      <c r="K215" t="s">
        <v>98</v>
      </c>
      <c r="N215" t="str">
        <f ca="1">IFERROR(_xludf.XLOOKUP($F215&amp;"."&amp;$G215,CaseSource!$A$2:$A$371,CaseSource!$B$2:$B$371,""),"")</f>
        <v/>
      </c>
    </row>
    <row r="216" spans="1:14" hidden="1" x14ac:dyDescent="0.2">
      <c r="A216" t="s">
        <v>220</v>
      </c>
      <c r="B216" t="s">
        <v>87</v>
      </c>
      <c r="C216" t="s">
        <v>221</v>
      </c>
      <c r="D216" t="s">
        <v>222</v>
      </c>
      <c r="E216" t="s">
        <v>223</v>
      </c>
      <c r="F216" t="s">
        <v>19</v>
      </c>
      <c r="G216" t="s">
        <v>226</v>
      </c>
      <c r="H216">
        <v>2</v>
      </c>
      <c r="I216" t="s">
        <v>21</v>
      </c>
      <c r="J216" t="s">
        <v>22</v>
      </c>
      <c r="K216" t="s">
        <v>98</v>
      </c>
      <c r="N216" t="str">
        <f ca="1">IFERROR(_xludf.XLOOKUP($F216&amp;"."&amp;$G216,CaseSource!$A$2:$A$371,CaseSource!$B$2:$B$371,""),"")</f>
        <v/>
      </c>
    </row>
    <row r="217" spans="1:14" hidden="1" x14ac:dyDescent="0.2">
      <c r="A217" t="s">
        <v>233</v>
      </c>
      <c r="B217" t="s">
        <v>87</v>
      </c>
      <c r="C217" t="s">
        <v>221</v>
      </c>
      <c r="D217" t="s">
        <v>31</v>
      </c>
      <c r="F217" t="s">
        <v>19</v>
      </c>
      <c r="G217" t="s">
        <v>234</v>
      </c>
      <c r="H217">
        <v>1</v>
      </c>
      <c r="I217" t="s">
        <v>21</v>
      </c>
      <c r="J217" t="s">
        <v>22</v>
      </c>
      <c r="K217" t="s">
        <v>235</v>
      </c>
      <c r="N217" t="str">
        <f ca="1">IFERROR(_xludf.XLOOKUP($F217&amp;"."&amp;$G217,CaseSource!$A$2:$A$371,CaseSource!$B$2:$B$371,""),"")</f>
        <v/>
      </c>
    </row>
    <row r="218" spans="1:14" hidden="1" x14ac:dyDescent="0.2">
      <c r="A218" t="s">
        <v>233</v>
      </c>
      <c r="B218" t="s">
        <v>87</v>
      </c>
      <c r="C218" t="s">
        <v>221</v>
      </c>
      <c r="D218" t="s">
        <v>31</v>
      </c>
      <c r="F218" t="s">
        <v>224</v>
      </c>
      <c r="G218" t="s">
        <v>236</v>
      </c>
      <c r="H218">
        <v>2</v>
      </c>
      <c r="I218" t="s">
        <v>21</v>
      </c>
      <c r="J218" t="s">
        <v>22</v>
      </c>
      <c r="K218" t="s">
        <v>235</v>
      </c>
      <c r="N218" t="str">
        <f ca="1">IFERROR(_xludf.XLOOKUP($F218&amp;"."&amp;$G218,CaseSource!$A$2:$A$371,CaseSource!$B$2:$B$371,""),"")</f>
        <v/>
      </c>
    </row>
    <row r="219" spans="1:14" hidden="1" x14ac:dyDescent="0.2">
      <c r="A219" t="s">
        <v>233</v>
      </c>
      <c r="B219" t="s">
        <v>87</v>
      </c>
      <c r="C219" t="s">
        <v>221</v>
      </c>
      <c r="D219" t="s">
        <v>31</v>
      </c>
      <c r="F219" t="s">
        <v>24</v>
      </c>
      <c r="G219" t="s">
        <v>237</v>
      </c>
      <c r="H219">
        <v>3</v>
      </c>
      <c r="I219" t="s">
        <v>21</v>
      </c>
      <c r="J219" t="s">
        <v>22</v>
      </c>
      <c r="K219" t="s">
        <v>235</v>
      </c>
      <c r="N219" t="str">
        <f ca="1">IFERROR(_xludf.XLOOKUP($F219&amp;"."&amp;$G219,CaseSource!$A$2:$A$371,CaseSource!$B$2:$B$371,""),"")</f>
        <v/>
      </c>
    </row>
    <row r="220" spans="1:14" hidden="1" x14ac:dyDescent="0.2">
      <c r="A220" t="s">
        <v>238</v>
      </c>
      <c r="B220" t="s">
        <v>87</v>
      </c>
      <c r="C220" t="s">
        <v>221</v>
      </c>
      <c r="D220" t="s">
        <v>31</v>
      </c>
      <c r="F220" t="s">
        <v>19</v>
      </c>
      <c r="G220" t="s">
        <v>239</v>
      </c>
      <c r="H220">
        <v>1</v>
      </c>
      <c r="I220" t="s">
        <v>21</v>
      </c>
      <c r="J220" t="s">
        <v>22</v>
      </c>
      <c r="K220" t="s">
        <v>240</v>
      </c>
      <c r="N220" t="str">
        <f ca="1">IFERROR(_xludf.XLOOKUP($F220&amp;"."&amp;$G220,CaseSource!$A$2:$A$371,CaseSource!$B$2:$B$371,""),"")</f>
        <v/>
      </c>
    </row>
    <row r="221" spans="1:14" hidden="1" x14ac:dyDescent="0.2">
      <c r="A221" t="s">
        <v>238</v>
      </c>
      <c r="B221" t="s">
        <v>87</v>
      </c>
      <c r="C221" t="s">
        <v>221</v>
      </c>
      <c r="D221" t="s">
        <v>31</v>
      </c>
      <c r="F221" t="s">
        <v>224</v>
      </c>
      <c r="G221" t="s">
        <v>241</v>
      </c>
      <c r="H221">
        <v>2</v>
      </c>
      <c r="I221" t="s">
        <v>21</v>
      </c>
      <c r="J221" t="s">
        <v>22</v>
      </c>
      <c r="K221" t="s">
        <v>240</v>
      </c>
      <c r="N221" t="str">
        <f ca="1">IFERROR(_xludf.XLOOKUP($F221&amp;"."&amp;$G221,CaseSource!$A$2:$A$371,CaseSource!$B$2:$B$371,""),"")</f>
        <v/>
      </c>
    </row>
    <row r="222" spans="1:14" hidden="1" x14ac:dyDescent="0.2">
      <c r="A222" t="s">
        <v>309</v>
      </c>
      <c r="B222" t="s">
        <v>87</v>
      </c>
      <c r="C222" t="s">
        <v>310</v>
      </c>
      <c r="D222" t="s">
        <v>31</v>
      </c>
      <c r="F222" t="s">
        <v>19</v>
      </c>
      <c r="G222" t="s">
        <v>311</v>
      </c>
      <c r="H222">
        <v>1</v>
      </c>
      <c r="I222" t="s">
        <v>21</v>
      </c>
      <c r="J222" t="s">
        <v>22</v>
      </c>
      <c r="K222" t="s">
        <v>126</v>
      </c>
      <c r="N222" t="str">
        <f ca="1">IFERROR(_xludf.XLOOKUP($F222&amp;"."&amp;$G222,CaseSource!$A$2:$A$371,CaseSource!$B$2:$B$371,""),"")</f>
        <v/>
      </c>
    </row>
    <row r="223" spans="1:14" hidden="1" x14ac:dyDescent="0.2">
      <c r="A223" t="s">
        <v>313</v>
      </c>
      <c r="B223" t="s">
        <v>87</v>
      </c>
      <c r="C223" t="s">
        <v>314</v>
      </c>
      <c r="D223" t="s">
        <v>31</v>
      </c>
      <c r="F223" t="s">
        <v>64</v>
      </c>
      <c r="G223" t="s">
        <v>315</v>
      </c>
      <c r="H223">
        <v>1</v>
      </c>
      <c r="I223" t="s">
        <v>21</v>
      </c>
      <c r="J223" t="s">
        <v>22</v>
      </c>
      <c r="K223" t="s">
        <v>98</v>
      </c>
      <c r="N223" t="str">
        <f ca="1">IFERROR(_xludf.XLOOKUP($F223&amp;"."&amp;$G223,CaseSource!$A$2:$A$371,CaseSource!$B$2:$B$371,""),"")</f>
        <v/>
      </c>
    </row>
    <row r="224" spans="1:14" hidden="1" x14ac:dyDescent="0.2">
      <c r="A224" t="s">
        <v>313</v>
      </c>
      <c r="B224" t="s">
        <v>87</v>
      </c>
      <c r="C224" t="s">
        <v>314</v>
      </c>
      <c r="D224" t="s">
        <v>31</v>
      </c>
      <c r="F224" t="s">
        <v>64</v>
      </c>
      <c r="G224" t="s">
        <v>316</v>
      </c>
      <c r="H224">
        <v>2</v>
      </c>
      <c r="I224" t="s">
        <v>21</v>
      </c>
      <c r="J224" t="s">
        <v>22</v>
      </c>
      <c r="K224" t="s">
        <v>98</v>
      </c>
      <c r="N224" t="str">
        <f ca="1">IFERROR(_xludf.XLOOKUP($F224&amp;"."&amp;$G224,CaseSource!$A$2:$A$371,CaseSource!$B$2:$B$371,""),"")</f>
        <v/>
      </c>
    </row>
    <row r="225" spans="1:14" hidden="1" x14ac:dyDescent="0.2">
      <c r="A225" t="s">
        <v>313</v>
      </c>
      <c r="B225" t="s">
        <v>87</v>
      </c>
      <c r="C225" t="s">
        <v>314</v>
      </c>
      <c r="D225" t="s">
        <v>31</v>
      </c>
      <c r="F225" t="s">
        <v>61</v>
      </c>
      <c r="G225" t="s">
        <v>316</v>
      </c>
      <c r="H225">
        <v>3</v>
      </c>
      <c r="I225" t="s">
        <v>21</v>
      </c>
      <c r="J225" t="s">
        <v>22</v>
      </c>
      <c r="K225" t="s">
        <v>98</v>
      </c>
      <c r="N225" t="str">
        <f ca="1">IFERROR(_xludf.XLOOKUP($F225&amp;"."&amp;$G225,CaseSource!$A$2:$A$371,CaseSource!$B$2:$B$371,""),"")</f>
        <v/>
      </c>
    </row>
    <row r="226" spans="1:14" hidden="1" x14ac:dyDescent="0.2">
      <c r="A226" t="s">
        <v>317</v>
      </c>
      <c r="B226" t="s">
        <v>87</v>
      </c>
      <c r="C226" t="s">
        <v>314</v>
      </c>
      <c r="D226" t="s">
        <v>31</v>
      </c>
      <c r="F226" t="s">
        <v>64</v>
      </c>
      <c r="G226" t="s">
        <v>318</v>
      </c>
      <c r="H226">
        <v>1</v>
      </c>
      <c r="I226" t="s">
        <v>21</v>
      </c>
      <c r="J226" t="s">
        <v>22</v>
      </c>
      <c r="K226" t="s">
        <v>98</v>
      </c>
      <c r="N226" t="str">
        <f ca="1">IFERROR(_xludf.XLOOKUP($F226&amp;"."&amp;$G226,CaseSource!$A$2:$A$371,CaseSource!$B$2:$B$371,""),"")</f>
        <v/>
      </c>
    </row>
    <row r="227" spans="1:14" hidden="1" x14ac:dyDescent="0.2">
      <c r="A227" t="s">
        <v>317</v>
      </c>
      <c r="B227" t="s">
        <v>87</v>
      </c>
      <c r="C227" t="s">
        <v>314</v>
      </c>
      <c r="D227" t="s">
        <v>31</v>
      </c>
      <c r="F227" t="s">
        <v>61</v>
      </c>
      <c r="G227" t="s">
        <v>73</v>
      </c>
      <c r="H227">
        <v>2</v>
      </c>
      <c r="I227" t="s">
        <v>21</v>
      </c>
      <c r="J227" t="s">
        <v>22</v>
      </c>
      <c r="K227" t="s">
        <v>98</v>
      </c>
      <c r="N227" t="str">
        <f ca="1">IFERROR(_xludf.XLOOKUP($F227&amp;"."&amp;$G227,CaseSource!$A$2:$A$371,CaseSource!$B$2:$B$371,""),"")</f>
        <v/>
      </c>
    </row>
    <row r="228" spans="1:14" hidden="1" x14ac:dyDescent="0.2">
      <c r="A228" t="s">
        <v>317</v>
      </c>
      <c r="B228" t="s">
        <v>87</v>
      </c>
      <c r="C228" t="s">
        <v>314</v>
      </c>
      <c r="D228" t="s">
        <v>31</v>
      </c>
      <c r="F228" t="s">
        <v>61</v>
      </c>
      <c r="G228" t="s">
        <v>62</v>
      </c>
      <c r="H228">
        <v>3</v>
      </c>
      <c r="I228" t="s">
        <v>21</v>
      </c>
      <c r="J228" t="s">
        <v>22</v>
      </c>
      <c r="K228" t="s">
        <v>98</v>
      </c>
      <c r="N228" t="str">
        <f ca="1">IFERROR(_xludf.XLOOKUP($F228&amp;"."&amp;$G228,CaseSource!$A$2:$A$371,CaseSource!$B$2:$B$371,""),"")</f>
        <v/>
      </c>
    </row>
    <row r="229" spans="1:14" hidden="1" x14ac:dyDescent="0.2">
      <c r="A229" t="s">
        <v>317</v>
      </c>
      <c r="B229" t="s">
        <v>87</v>
      </c>
      <c r="C229" t="s">
        <v>314</v>
      </c>
      <c r="D229" t="s">
        <v>31</v>
      </c>
      <c r="F229" t="s">
        <v>24</v>
      </c>
      <c r="G229" t="s">
        <v>66</v>
      </c>
      <c r="H229">
        <v>4</v>
      </c>
      <c r="I229" t="s">
        <v>21</v>
      </c>
      <c r="J229" t="s">
        <v>22</v>
      </c>
      <c r="K229" t="s">
        <v>98</v>
      </c>
      <c r="N229" t="str">
        <f ca="1">IFERROR(_xludf.XLOOKUP($F229&amp;"."&amp;$G229,CaseSource!$A$2:$A$371,CaseSource!$B$2:$B$371,""),"")</f>
        <v/>
      </c>
    </row>
    <row r="230" spans="1:14" hidden="1" x14ac:dyDescent="0.2">
      <c r="A230" t="s">
        <v>317</v>
      </c>
      <c r="B230" t="s">
        <v>87</v>
      </c>
      <c r="C230" t="s">
        <v>314</v>
      </c>
      <c r="D230" t="s">
        <v>31</v>
      </c>
      <c r="F230" t="s">
        <v>24</v>
      </c>
      <c r="G230" t="s">
        <v>67</v>
      </c>
      <c r="H230">
        <v>5</v>
      </c>
      <c r="I230" t="s">
        <v>21</v>
      </c>
      <c r="J230" t="s">
        <v>22</v>
      </c>
      <c r="K230" t="s">
        <v>98</v>
      </c>
      <c r="N230" t="str">
        <f ca="1">IFERROR(_xludf.XLOOKUP($F230&amp;"."&amp;$G230,CaseSource!$A$2:$A$371,CaseSource!$B$2:$B$371,""),"")</f>
        <v/>
      </c>
    </row>
    <row r="231" spans="1:14" hidden="1" x14ac:dyDescent="0.2">
      <c r="A231" t="s">
        <v>319</v>
      </c>
      <c r="B231" t="s">
        <v>87</v>
      </c>
      <c r="C231" t="s">
        <v>314</v>
      </c>
      <c r="D231" t="s">
        <v>31</v>
      </c>
      <c r="F231" t="s">
        <v>64</v>
      </c>
      <c r="G231" t="s">
        <v>320</v>
      </c>
      <c r="H231">
        <v>1</v>
      </c>
      <c r="I231" t="s">
        <v>21</v>
      </c>
      <c r="J231" t="s">
        <v>22</v>
      </c>
      <c r="K231" t="s">
        <v>98</v>
      </c>
      <c r="N231" t="str">
        <f ca="1">IFERROR(_xludf.XLOOKUP($F231&amp;"."&amp;$G231,CaseSource!$A$2:$A$371,CaseSource!$B$2:$B$371,""),"")</f>
        <v/>
      </c>
    </row>
    <row r="232" spans="1:14" hidden="1" x14ac:dyDescent="0.2">
      <c r="A232" t="s">
        <v>319</v>
      </c>
      <c r="B232" t="s">
        <v>87</v>
      </c>
      <c r="C232" t="s">
        <v>314</v>
      </c>
      <c r="D232" t="s">
        <v>31</v>
      </c>
      <c r="F232" t="s">
        <v>61</v>
      </c>
      <c r="G232" t="s">
        <v>90</v>
      </c>
      <c r="H232">
        <v>2</v>
      </c>
      <c r="I232" t="s">
        <v>21</v>
      </c>
      <c r="J232" t="s">
        <v>22</v>
      </c>
      <c r="K232" t="s">
        <v>98</v>
      </c>
      <c r="N232" t="str">
        <f ca="1">IFERROR(_xludf.XLOOKUP($F232&amp;"."&amp;$G232,CaseSource!$A$2:$A$371,CaseSource!$B$2:$B$371,""),"")</f>
        <v/>
      </c>
    </row>
    <row r="233" spans="1:14" hidden="1" x14ac:dyDescent="0.2">
      <c r="A233" t="s">
        <v>319</v>
      </c>
      <c r="B233" t="s">
        <v>87</v>
      </c>
      <c r="C233" t="s">
        <v>314</v>
      </c>
      <c r="D233" t="s">
        <v>31</v>
      </c>
      <c r="F233" t="s">
        <v>61</v>
      </c>
      <c r="G233" t="s">
        <v>88</v>
      </c>
      <c r="H233">
        <v>3</v>
      </c>
      <c r="I233" t="s">
        <v>21</v>
      </c>
      <c r="J233" t="s">
        <v>22</v>
      </c>
      <c r="K233" t="s">
        <v>98</v>
      </c>
      <c r="N233" t="str">
        <f ca="1">IFERROR(_xludf.XLOOKUP($F233&amp;"."&amp;$G233,CaseSource!$A$2:$A$371,CaseSource!$B$2:$B$371,""),"")</f>
        <v/>
      </c>
    </row>
    <row r="234" spans="1:14" hidden="1" x14ac:dyDescent="0.2">
      <c r="A234" t="s">
        <v>319</v>
      </c>
      <c r="B234" t="s">
        <v>87</v>
      </c>
      <c r="C234" t="s">
        <v>314</v>
      </c>
      <c r="D234" t="s">
        <v>31</v>
      </c>
      <c r="F234" t="s">
        <v>24</v>
      </c>
      <c r="G234" t="s">
        <v>90</v>
      </c>
      <c r="H234">
        <v>4</v>
      </c>
      <c r="I234" t="s">
        <v>21</v>
      </c>
      <c r="J234" t="s">
        <v>22</v>
      </c>
      <c r="K234" t="s">
        <v>98</v>
      </c>
      <c r="N234" t="str">
        <f ca="1">IFERROR(_xludf.XLOOKUP($F234&amp;"."&amp;$G234,CaseSource!$A$2:$A$371,CaseSource!$B$2:$B$371,""),"")</f>
        <v/>
      </c>
    </row>
    <row r="235" spans="1:14" hidden="1" x14ac:dyDescent="0.2">
      <c r="A235" t="s">
        <v>321</v>
      </c>
      <c r="B235" t="s">
        <v>87</v>
      </c>
      <c r="C235" t="s">
        <v>314</v>
      </c>
      <c r="D235" t="s">
        <v>31</v>
      </c>
      <c r="F235" t="s">
        <v>64</v>
      </c>
      <c r="G235" t="s">
        <v>322</v>
      </c>
      <c r="H235">
        <v>1</v>
      </c>
      <c r="I235" t="s">
        <v>21</v>
      </c>
      <c r="J235" t="s">
        <v>22</v>
      </c>
      <c r="K235" t="s">
        <v>98</v>
      </c>
      <c r="N235" t="str">
        <f ca="1">IFERROR(_xludf.XLOOKUP($F235&amp;"."&amp;$G235,CaseSource!$A$2:$A$371,CaseSource!$B$2:$B$371,""),"")</f>
        <v/>
      </c>
    </row>
    <row r="236" spans="1:14" hidden="1" x14ac:dyDescent="0.2">
      <c r="A236" t="s">
        <v>321</v>
      </c>
      <c r="B236" t="s">
        <v>87</v>
      </c>
      <c r="C236" t="s">
        <v>314</v>
      </c>
      <c r="D236" t="s">
        <v>31</v>
      </c>
      <c r="F236" t="s">
        <v>61</v>
      </c>
      <c r="G236" t="s">
        <v>99</v>
      </c>
      <c r="H236">
        <v>2</v>
      </c>
      <c r="I236" t="s">
        <v>21</v>
      </c>
      <c r="J236" t="s">
        <v>22</v>
      </c>
      <c r="K236" t="s">
        <v>98</v>
      </c>
      <c r="N236" t="str">
        <f ca="1">IFERROR(_xludf.XLOOKUP($F236&amp;"."&amp;$G236,CaseSource!$A$2:$A$371,CaseSource!$B$2:$B$371,""),"")</f>
        <v/>
      </c>
    </row>
    <row r="237" spans="1:14" hidden="1" x14ac:dyDescent="0.2">
      <c r="A237" t="s">
        <v>321</v>
      </c>
      <c r="B237" t="s">
        <v>87</v>
      </c>
      <c r="C237" t="s">
        <v>314</v>
      </c>
      <c r="D237" t="s">
        <v>31</v>
      </c>
      <c r="F237" t="s">
        <v>24</v>
      </c>
      <c r="G237" t="s">
        <v>99</v>
      </c>
      <c r="H237">
        <v>3</v>
      </c>
      <c r="I237" t="s">
        <v>21</v>
      </c>
      <c r="J237" t="s">
        <v>22</v>
      </c>
      <c r="K237" t="s">
        <v>98</v>
      </c>
      <c r="N237" t="str">
        <f ca="1">IFERROR(_xludf.XLOOKUP($F237&amp;"."&amp;$G237,CaseSource!$A$2:$A$371,CaseSource!$B$2:$B$371,""),"")</f>
        <v/>
      </c>
    </row>
    <row r="238" spans="1:14" hidden="1" x14ac:dyDescent="0.2">
      <c r="A238" t="s">
        <v>323</v>
      </c>
      <c r="B238" t="s">
        <v>87</v>
      </c>
      <c r="C238" t="s">
        <v>314</v>
      </c>
      <c r="D238" t="s">
        <v>31</v>
      </c>
      <c r="F238" t="s">
        <v>64</v>
      </c>
      <c r="G238" t="s">
        <v>324</v>
      </c>
      <c r="H238">
        <v>1</v>
      </c>
      <c r="I238" t="s">
        <v>21</v>
      </c>
      <c r="J238" t="s">
        <v>22</v>
      </c>
      <c r="K238" t="s">
        <v>98</v>
      </c>
      <c r="N238" t="str">
        <f ca="1">IFERROR(_xludf.XLOOKUP($F238&amp;"."&amp;$G238,CaseSource!$A$2:$A$371,CaseSource!$B$2:$B$371,""),"")</f>
        <v/>
      </c>
    </row>
    <row r="239" spans="1:14" hidden="1" x14ac:dyDescent="0.2">
      <c r="A239" t="s">
        <v>323</v>
      </c>
      <c r="B239" t="s">
        <v>87</v>
      </c>
      <c r="C239" t="s">
        <v>314</v>
      </c>
      <c r="D239" t="s">
        <v>31</v>
      </c>
      <c r="F239" t="s">
        <v>61</v>
      </c>
      <c r="G239" t="s">
        <v>102</v>
      </c>
      <c r="H239">
        <v>2</v>
      </c>
      <c r="I239" t="s">
        <v>21</v>
      </c>
      <c r="J239" t="s">
        <v>22</v>
      </c>
      <c r="K239" t="s">
        <v>98</v>
      </c>
      <c r="N239" t="str">
        <f ca="1">IFERROR(_xludf.XLOOKUP($F239&amp;"."&amp;$G239,CaseSource!$A$2:$A$371,CaseSource!$B$2:$B$371,""),"")</f>
        <v/>
      </c>
    </row>
    <row r="240" spans="1:14" hidden="1" x14ac:dyDescent="0.2">
      <c r="A240" t="s">
        <v>323</v>
      </c>
      <c r="B240" t="s">
        <v>87</v>
      </c>
      <c r="C240" t="s">
        <v>314</v>
      </c>
      <c r="D240" t="s">
        <v>31</v>
      </c>
      <c r="F240" t="s">
        <v>24</v>
      </c>
      <c r="G240" t="s">
        <v>102</v>
      </c>
      <c r="H240">
        <v>3</v>
      </c>
      <c r="I240" t="s">
        <v>21</v>
      </c>
      <c r="J240" t="s">
        <v>22</v>
      </c>
      <c r="K240" t="s">
        <v>98</v>
      </c>
      <c r="N240" t="str">
        <f ca="1">IFERROR(_xludf.XLOOKUP($F240&amp;"."&amp;$G240,CaseSource!$A$2:$A$371,CaseSource!$B$2:$B$371,""),"")</f>
        <v/>
      </c>
    </row>
    <row r="241" spans="1:14" hidden="1" x14ac:dyDescent="0.2">
      <c r="A241" t="s">
        <v>325</v>
      </c>
      <c r="B241" t="s">
        <v>87</v>
      </c>
      <c r="C241" t="s">
        <v>314</v>
      </c>
      <c r="D241" t="s">
        <v>31</v>
      </c>
      <c r="F241" t="s">
        <v>64</v>
      </c>
      <c r="G241" t="s">
        <v>326</v>
      </c>
      <c r="H241">
        <v>1</v>
      </c>
      <c r="I241" t="s">
        <v>21</v>
      </c>
      <c r="J241" t="s">
        <v>22</v>
      </c>
      <c r="K241" t="s">
        <v>252</v>
      </c>
      <c r="N241" t="str">
        <f ca="1">IFERROR(_xludf.XLOOKUP($F241&amp;"."&amp;$G241,CaseSource!$A$2:$A$371,CaseSource!$B$2:$B$371,""),"")</f>
        <v/>
      </c>
    </row>
    <row r="242" spans="1:14" hidden="1" x14ac:dyDescent="0.2">
      <c r="A242" t="s">
        <v>325</v>
      </c>
      <c r="B242" t="s">
        <v>87</v>
      </c>
      <c r="C242" t="s">
        <v>314</v>
      </c>
      <c r="D242" t="s">
        <v>31</v>
      </c>
      <c r="F242" t="s">
        <v>24</v>
      </c>
      <c r="G242" t="s">
        <v>156</v>
      </c>
      <c r="H242">
        <v>2</v>
      </c>
      <c r="I242" t="s">
        <v>21</v>
      </c>
      <c r="J242" t="s">
        <v>22</v>
      </c>
      <c r="K242" t="s">
        <v>252</v>
      </c>
      <c r="N242" t="str">
        <f ca="1">IFERROR(_xludf.XLOOKUP($F242&amp;"."&amp;$G242,CaseSource!$A$2:$A$371,CaseSource!$B$2:$B$371,""),"")</f>
        <v/>
      </c>
    </row>
    <row r="243" spans="1:14" hidden="1" x14ac:dyDescent="0.2">
      <c r="A243" t="s">
        <v>327</v>
      </c>
      <c r="B243" t="s">
        <v>87</v>
      </c>
      <c r="C243" t="s">
        <v>314</v>
      </c>
      <c r="D243" t="s">
        <v>31</v>
      </c>
      <c r="F243" t="s">
        <v>64</v>
      </c>
      <c r="G243" t="s">
        <v>328</v>
      </c>
      <c r="H243">
        <v>1</v>
      </c>
      <c r="I243" t="s">
        <v>21</v>
      </c>
      <c r="J243" t="s">
        <v>22</v>
      </c>
      <c r="K243" t="s">
        <v>98</v>
      </c>
      <c r="N243" t="str">
        <f ca="1">IFERROR(_xludf.XLOOKUP($F243&amp;"."&amp;$G243,CaseSource!$A$2:$A$371,CaseSource!$B$2:$B$371,""),"")</f>
        <v/>
      </c>
    </row>
    <row r="244" spans="1:14" hidden="1" x14ac:dyDescent="0.2">
      <c r="A244" t="s">
        <v>327</v>
      </c>
      <c r="B244" t="s">
        <v>87</v>
      </c>
      <c r="C244" t="s">
        <v>314</v>
      </c>
      <c r="D244" t="s">
        <v>31</v>
      </c>
      <c r="F244" t="s">
        <v>61</v>
      </c>
      <c r="G244" t="s">
        <v>329</v>
      </c>
      <c r="H244">
        <v>2</v>
      </c>
      <c r="I244" t="s">
        <v>21</v>
      </c>
      <c r="J244" t="s">
        <v>22</v>
      </c>
      <c r="K244" t="s">
        <v>98</v>
      </c>
      <c r="N244" t="str">
        <f ca="1">IFERROR(_xludf.XLOOKUP($F244&amp;"."&amp;$G244,CaseSource!$A$2:$A$371,CaseSource!$B$2:$B$371,""),"")</f>
        <v/>
      </c>
    </row>
    <row r="245" spans="1:14" hidden="1" x14ac:dyDescent="0.2">
      <c r="A245" t="s">
        <v>327</v>
      </c>
      <c r="B245" t="s">
        <v>87</v>
      </c>
      <c r="C245" t="s">
        <v>314</v>
      </c>
      <c r="D245" t="s">
        <v>31</v>
      </c>
      <c r="F245" t="s">
        <v>24</v>
      </c>
      <c r="G245" t="s">
        <v>179</v>
      </c>
      <c r="H245">
        <v>3</v>
      </c>
      <c r="I245" t="s">
        <v>21</v>
      </c>
      <c r="J245" t="s">
        <v>22</v>
      </c>
      <c r="K245" t="s">
        <v>98</v>
      </c>
      <c r="N245" t="str">
        <f ca="1">IFERROR(_xludf.XLOOKUP($F245&amp;"."&amp;$G245,CaseSource!$A$2:$A$371,CaseSource!$B$2:$B$371,""),"")</f>
        <v/>
      </c>
    </row>
    <row r="246" spans="1:14" hidden="1" x14ac:dyDescent="0.2">
      <c r="A246" t="s">
        <v>330</v>
      </c>
      <c r="B246" t="s">
        <v>87</v>
      </c>
      <c r="C246" t="s">
        <v>314</v>
      </c>
      <c r="D246" t="s">
        <v>31</v>
      </c>
      <c r="F246" t="s">
        <v>24</v>
      </c>
      <c r="G246" t="s">
        <v>169</v>
      </c>
      <c r="H246">
        <v>1</v>
      </c>
      <c r="I246" t="s">
        <v>21</v>
      </c>
      <c r="J246" t="s">
        <v>22</v>
      </c>
      <c r="K246" t="s">
        <v>126</v>
      </c>
      <c r="N246" t="str">
        <f ca="1">IFERROR(_xludf.XLOOKUP($F246&amp;"."&amp;$G246,CaseSource!$A$2:$A$371,CaseSource!$B$2:$B$371,""),"")</f>
        <v/>
      </c>
    </row>
    <row r="247" spans="1:14" hidden="1" x14ac:dyDescent="0.2">
      <c r="A247" t="s">
        <v>330</v>
      </c>
      <c r="B247" t="s">
        <v>87</v>
      </c>
      <c r="C247" t="s">
        <v>314</v>
      </c>
      <c r="D247" t="s">
        <v>31</v>
      </c>
      <c r="F247" t="s">
        <v>61</v>
      </c>
      <c r="G247" t="s">
        <v>331</v>
      </c>
      <c r="H247">
        <v>2</v>
      </c>
      <c r="I247" t="s">
        <v>21</v>
      </c>
      <c r="J247" t="s">
        <v>22</v>
      </c>
      <c r="K247" t="s">
        <v>126</v>
      </c>
      <c r="N247" t="str">
        <f ca="1">IFERROR(_xludf.XLOOKUP($F247&amp;"."&amp;$G247,CaseSource!$A$2:$A$371,CaseSource!$B$2:$B$371,""),"")</f>
        <v/>
      </c>
    </row>
    <row r="248" spans="1:14" hidden="1" x14ac:dyDescent="0.2">
      <c r="A248" t="s">
        <v>332</v>
      </c>
      <c r="B248" t="s">
        <v>87</v>
      </c>
      <c r="C248" t="s">
        <v>314</v>
      </c>
      <c r="D248" t="s">
        <v>31</v>
      </c>
      <c r="F248" t="s">
        <v>24</v>
      </c>
      <c r="G248" t="s">
        <v>173</v>
      </c>
      <c r="H248">
        <v>1</v>
      </c>
      <c r="I248" t="s">
        <v>21</v>
      </c>
      <c r="J248" t="s">
        <v>22</v>
      </c>
      <c r="K248" t="s">
        <v>160</v>
      </c>
      <c r="N248" t="str">
        <f ca="1">IFERROR(_xludf.XLOOKUP($F248&amp;"."&amp;$G248,CaseSource!$A$2:$A$371,CaseSource!$B$2:$B$371,""),"")</f>
        <v/>
      </c>
    </row>
    <row r="249" spans="1:14" hidden="1" x14ac:dyDescent="0.2">
      <c r="A249" t="s">
        <v>332</v>
      </c>
      <c r="B249" t="s">
        <v>87</v>
      </c>
      <c r="C249" t="s">
        <v>314</v>
      </c>
      <c r="D249" t="s">
        <v>31</v>
      </c>
      <c r="F249" t="s">
        <v>61</v>
      </c>
      <c r="G249" t="s">
        <v>173</v>
      </c>
      <c r="H249">
        <v>2</v>
      </c>
      <c r="I249" t="s">
        <v>21</v>
      </c>
      <c r="J249" t="s">
        <v>22</v>
      </c>
      <c r="K249" t="s">
        <v>160</v>
      </c>
      <c r="N249" t="str">
        <f ca="1">IFERROR(_xludf.XLOOKUP($F249&amp;"."&amp;$G249,CaseSource!$A$2:$A$371,CaseSource!$B$2:$B$371,""),"")</f>
        <v/>
      </c>
    </row>
    <row r="250" spans="1:14" hidden="1" x14ac:dyDescent="0.2">
      <c r="A250" t="s">
        <v>333</v>
      </c>
      <c r="B250" t="s">
        <v>87</v>
      </c>
      <c r="C250" t="s">
        <v>314</v>
      </c>
      <c r="D250" t="s">
        <v>31</v>
      </c>
      <c r="F250" t="s">
        <v>64</v>
      </c>
      <c r="G250" t="s">
        <v>191</v>
      </c>
      <c r="H250">
        <v>1</v>
      </c>
      <c r="I250" t="s">
        <v>21</v>
      </c>
      <c r="J250" t="s">
        <v>22</v>
      </c>
      <c r="K250" t="s">
        <v>98</v>
      </c>
      <c r="N250" t="str">
        <f ca="1">IFERROR(_xludf.XLOOKUP($F250&amp;"."&amp;$G250,CaseSource!$A$2:$A$371,CaseSource!$B$2:$B$371,""),"")</f>
        <v/>
      </c>
    </row>
    <row r="251" spans="1:14" hidden="1" x14ac:dyDescent="0.2">
      <c r="A251" t="s">
        <v>335</v>
      </c>
      <c r="B251" t="s">
        <v>87</v>
      </c>
      <c r="C251" t="s">
        <v>190</v>
      </c>
      <c r="D251" t="s">
        <v>31</v>
      </c>
      <c r="F251" t="s">
        <v>64</v>
      </c>
      <c r="G251" t="s">
        <v>315</v>
      </c>
      <c r="H251">
        <v>1</v>
      </c>
      <c r="I251" t="s">
        <v>21</v>
      </c>
      <c r="J251" t="s">
        <v>22</v>
      </c>
      <c r="K251" t="s">
        <v>98</v>
      </c>
      <c r="N251" t="str">
        <f ca="1">IFERROR(_xludf.XLOOKUP($F251&amp;"."&amp;$G251,CaseSource!$A$2:$A$371,CaseSource!$B$2:$B$371,""),"")</f>
        <v/>
      </c>
    </row>
    <row r="252" spans="1:14" hidden="1" x14ac:dyDescent="0.2">
      <c r="A252" t="s">
        <v>336</v>
      </c>
      <c r="B252" t="s">
        <v>87</v>
      </c>
      <c r="C252" t="s">
        <v>190</v>
      </c>
      <c r="D252" t="s">
        <v>31</v>
      </c>
      <c r="F252" t="s">
        <v>64</v>
      </c>
      <c r="G252" t="s">
        <v>318</v>
      </c>
      <c r="H252">
        <v>1</v>
      </c>
      <c r="I252" t="s">
        <v>21</v>
      </c>
      <c r="J252" t="s">
        <v>22</v>
      </c>
      <c r="K252" t="s">
        <v>98</v>
      </c>
      <c r="N252" t="str">
        <f ca="1">IFERROR(_xludf.XLOOKUP($F252&amp;"."&amp;$G252,CaseSource!$A$2:$A$371,CaseSource!$B$2:$B$371,""),"")</f>
        <v/>
      </c>
    </row>
    <row r="253" spans="1:14" hidden="1" x14ac:dyDescent="0.2">
      <c r="A253" t="s">
        <v>337</v>
      </c>
      <c r="B253" t="s">
        <v>87</v>
      </c>
      <c r="C253" t="s">
        <v>190</v>
      </c>
      <c r="D253" t="s">
        <v>31</v>
      </c>
      <c r="F253" t="s">
        <v>64</v>
      </c>
      <c r="G253" t="s">
        <v>320</v>
      </c>
      <c r="H253">
        <v>1</v>
      </c>
      <c r="I253" t="s">
        <v>21</v>
      </c>
      <c r="J253" t="s">
        <v>22</v>
      </c>
      <c r="K253" t="s">
        <v>98</v>
      </c>
      <c r="N253" t="str">
        <f ca="1">IFERROR(_xludf.XLOOKUP($F253&amp;"."&amp;$G253,CaseSource!$A$2:$A$371,CaseSource!$B$2:$B$371,""),"")</f>
        <v/>
      </c>
    </row>
    <row r="254" spans="1:14" hidden="1" x14ac:dyDescent="0.2">
      <c r="A254" t="s">
        <v>338</v>
      </c>
      <c r="B254" t="s">
        <v>87</v>
      </c>
      <c r="C254" t="s">
        <v>190</v>
      </c>
      <c r="D254" t="s">
        <v>31</v>
      </c>
      <c r="F254" t="s">
        <v>64</v>
      </c>
      <c r="G254" t="s">
        <v>322</v>
      </c>
      <c r="H254">
        <v>1</v>
      </c>
      <c r="I254" t="s">
        <v>21</v>
      </c>
      <c r="J254" t="s">
        <v>22</v>
      </c>
      <c r="K254" t="s">
        <v>98</v>
      </c>
      <c r="N254" t="str">
        <f ca="1">IFERROR(_xludf.XLOOKUP($F254&amp;"."&amp;$G254,CaseSource!$A$2:$A$371,CaseSource!$B$2:$B$371,""),"")</f>
        <v/>
      </c>
    </row>
    <row r="255" spans="1:14" hidden="1" x14ac:dyDescent="0.2">
      <c r="A255" t="s">
        <v>339</v>
      </c>
      <c r="B255" t="s">
        <v>87</v>
      </c>
      <c r="C255" t="s">
        <v>190</v>
      </c>
      <c r="D255" t="s">
        <v>31</v>
      </c>
      <c r="F255" t="s">
        <v>64</v>
      </c>
      <c r="G255" t="s">
        <v>324</v>
      </c>
      <c r="H255">
        <v>1</v>
      </c>
      <c r="I255" t="s">
        <v>21</v>
      </c>
      <c r="J255" t="s">
        <v>22</v>
      </c>
      <c r="K255" t="s">
        <v>98</v>
      </c>
      <c r="N255" t="str">
        <f ca="1">IFERROR(_xludf.XLOOKUP($F255&amp;"."&amp;$G255,CaseSource!$A$2:$A$371,CaseSource!$B$2:$B$371,""),"")</f>
        <v/>
      </c>
    </row>
    <row r="256" spans="1:14" hidden="1" x14ac:dyDescent="0.2">
      <c r="A256" t="s">
        <v>340</v>
      </c>
      <c r="B256" t="s">
        <v>87</v>
      </c>
      <c r="C256" t="s">
        <v>190</v>
      </c>
      <c r="D256" t="s">
        <v>31</v>
      </c>
      <c r="F256" t="s">
        <v>64</v>
      </c>
      <c r="G256" t="s">
        <v>326</v>
      </c>
      <c r="H256">
        <v>1</v>
      </c>
      <c r="I256" t="s">
        <v>21</v>
      </c>
      <c r="J256" t="s">
        <v>22</v>
      </c>
      <c r="K256" t="s">
        <v>252</v>
      </c>
      <c r="N256" t="str">
        <f ca="1">IFERROR(_xludf.XLOOKUP($F256&amp;"."&amp;$G256,CaseSource!$A$2:$A$371,CaseSource!$B$2:$B$371,""),"")</f>
        <v/>
      </c>
    </row>
    <row r="257" spans="1:14" hidden="1" x14ac:dyDescent="0.2">
      <c r="A257" t="s">
        <v>341</v>
      </c>
      <c r="B257" t="s">
        <v>87</v>
      </c>
      <c r="C257" t="s">
        <v>342</v>
      </c>
      <c r="D257" t="s">
        <v>31</v>
      </c>
      <c r="F257" t="s">
        <v>64</v>
      </c>
      <c r="G257" t="s">
        <v>191</v>
      </c>
      <c r="H257">
        <v>1</v>
      </c>
      <c r="I257" t="s">
        <v>21</v>
      </c>
      <c r="J257" t="s">
        <v>22</v>
      </c>
      <c r="K257" t="s">
        <v>98</v>
      </c>
      <c r="N257" t="str">
        <f ca="1">IFERROR(_xludf.XLOOKUP($F257&amp;"."&amp;$G257,CaseSource!$A$2:$A$371,CaseSource!$B$2:$B$371,""),"")</f>
        <v/>
      </c>
    </row>
    <row r="258" spans="1:14" hidden="1" x14ac:dyDescent="0.2">
      <c r="A258" t="s">
        <v>343</v>
      </c>
      <c r="B258" t="s">
        <v>87</v>
      </c>
      <c r="C258" t="s">
        <v>190</v>
      </c>
      <c r="D258" t="s">
        <v>31</v>
      </c>
      <c r="F258" t="s">
        <v>64</v>
      </c>
      <c r="G258" t="s">
        <v>344</v>
      </c>
      <c r="H258">
        <v>1</v>
      </c>
      <c r="I258" t="s">
        <v>21</v>
      </c>
      <c r="J258" t="s">
        <v>22</v>
      </c>
      <c r="K258" t="s">
        <v>98</v>
      </c>
      <c r="N258" t="str">
        <f ca="1">IFERROR(_xludf.XLOOKUP($F258&amp;"."&amp;$G258,CaseSource!$A$2:$A$371,CaseSource!$B$2:$B$371,""),"")</f>
        <v/>
      </c>
    </row>
    <row r="259" spans="1:14" hidden="1" x14ac:dyDescent="0.2">
      <c r="A259" t="s">
        <v>358</v>
      </c>
      <c r="B259" t="s">
        <v>87</v>
      </c>
      <c r="C259" t="s">
        <v>120</v>
      </c>
      <c r="D259" t="s">
        <v>31</v>
      </c>
      <c r="H259">
        <v>1</v>
      </c>
      <c r="I259" t="s">
        <v>21</v>
      </c>
      <c r="J259" t="s">
        <v>22</v>
      </c>
      <c r="N259" t="str">
        <f ca="1">IFERROR(_xludf.XLOOKUP($F259&amp;"."&amp;$G259,CaseSource!$A$2:$A$371,CaseSource!$B$2:$B$371,""),"")</f>
        <v/>
      </c>
    </row>
    <row r="260" spans="1:14" hidden="1" x14ac:dyDescent="0.2">
      <c r="A260" t="s">
        <v>359</v>
      </c>
      <c r="B260" t="s">
        <v>87</v>
      </c>
      <c r="C260" t="s">
        <v>154</v>
      </c>
      <c r="D260" t="s">
        <v>31</v>
      </c>
      <c r="H260">
        <v>1</v>
      </c>
      <c r="I260" t="s">
        <v>21</v>
      </c>
      <c r="J260" t="s">
        <v>22</v>
      </c>
      <c r="N260" t="str">
        <f ca="1">IFERROR(_xludf.XLOOKUP($F260&amp;"."&amp;$G260,CaseSource!$A$2:$A$371,CaseSource!$B$2:$B$371,""),"")</f>
        <v/>
      </c>
    </row>
    <row r="261" spans="1:14" hidden="1" x14ac:dyDescent="0.2">
      <c r="A261" t="s">
        <v>360</v>
      </c>
      <c r="B261" t="s">
        <v>87</v>
      </c>
      <c r="C261" t="s">
        <v>154</v>
      </c>
      <c r="D261" t="s">
        <v>31</v>
      </c>
      <c r="H261">
        <v>1</v>
      </c>
      <c r="I261" t="s">
        <v>21</v>
      </c>
      <c r="J261" t="s">
        <v>22</v>
      </c>
      <c r="N261" t="str">
        <f ca="1">IFERROR(_xludf.XLOOKUP($F261&amp;"."&amp;$G261,CaseSource!$A$2:$A$371,CaseSource!$B$2:$B$371,""),"")</f>
        <v/>
      </c>
    </row>
    <row r="262" spans="1:14" hidden="1" x14ac:dyDescent="0.2">
      <c r="A262" t="s">
        <v>362</v>
      </c>
      <c r="B262" t="s">
        <v>87</v>
      </c>
      <c r="C262" t="s">
        <v>96</v>
      </c>
      <c r="D262" t="s">
        <v>31</v>
      </c>
      <c r="H262">
        <v>1</v>
      </c>
      <c r="I262" t="s">
        <v>21</v>
      </c>
      <c r="J262" t="s">
        <v>22</v>
      </c>
      <c r="N262" t="str">
        <f ca="1">IFERROR(_xludf.XLOOKUP($F262&amp;"."&amp;$G262,CaseSource!$A$2:$A$371,CaseSource!$B$2:$B$371,""),"")</f>
        <v/>
      </c>
    </row>
    <row r="263" spans="1:14" hidden="1" x14ac:dyDescent="0.2">
      <c r="A263" t="s">
        <v>363</v>
      </c>
      <c r="B263" t="s">
        <v>87</v>
      </c>
      <c r="C263" t="s">
        <v>96</v>
      </c>
      <c r="D263" t="s">
        <v>31</v>
      </c>
      <c r="H263">
        <v>1</v>
      </c>
      <c r="I263" t="s">
        <v>21</v>
      </c>
      <c r="J263" t="s">
        <v>22</v>
      </c>
      <c r="N263" t="str">
        <f ca="1">IFERROR(_xludf.XLOOKUP($F263&amp;"."&amp;$G263,CaseSource!$A$2:$A$371,CaseSource!$B$2:$B$371,""),"")</f>
        <v/>
      </c>
    </row>
    <row r="264" spans="1:14" hidden="1" x14ac:dyDescent="0.2">
      <c r="A264" t="s">
        <v>364</v>
      </c>
      <c r="B264" t="s">
        <v>87</v>
      </c>
      <c r="C264" t="s">
        <v>107</v>
      </c>
      <c r="D264" t="s">
        <v>31</v>
      </c>
      <c r="H264">
        <v>1</v>
      </c>
      <c r="I264" t="s">
        <v>21</v>
      </c>
      <c r="J264" t="s">
        <v>22</v>
      </c>
      <c r="N264" t="str">
        <f ca="1">IFERROR(_xludf.XLOOKUP($F264&amp;"."&amp;$G264,CaseSource!$A$2:$A$371,CaseSource!$B$2:$B$371,""),"")</f>
        <v/>
      </c>
    </row>
    <row r="265" spans="1:14" hidden="1" x14ac:dyDescent="0.2">
      <c r="A265" t="s">
        <v>403</v>
      </c>
      <c r="B265" t="s">
        <v>87</v>
      </c>
      <c r="C265" t="s">
        <v>314</v>
      </c>
      <c r="D265" t="s">
        <v>31</v>
      </c>
      <c r="H265">
        <v>1</v>
      </c>
      <c r="I265" t="s">
        <v>21</v>
      </c>
      <c r="J265" t="s">
        <v>22</v>
      </c>
      <c r="N265" t="str">
        <f ca="1">IFERROR(_xludf.XLOOKUP($F265&amp;"."&amp;$G265,CaseSource!$A$2:$A$371,CaseSource!$B$2:$B$371,""),"")</f>
        <v/>
      </c>
    </row>
    <row r="266" spans="1:14" hidden="1" x14ac:dyDescent="0.2">
      <c r="A266" t="s">
        <v>404</v>
      </c>
      <c r="B266" t="s">
        <v>87</v>
      </c>
      <c r="C266" t="s">
        <v>314</v>
      </c>
      <c r="D266" t="s">
        <v>31</v>
      </c>
      <c r="H266">
        <v>1</v>
      </c>
      <c r="I266" t="s">
        <v>21</v>
      </c>
      <c r="J266" t="s">
        <v>22</v>
      </c>
      <c r="N266" t="str">
        <f ca="1">IFERROR(_xludf.XLOOKUP($F266&amp;"."&amp;$G266,CaseSource!$A$2:$A$371,CaseSource!$B$2:$B$371,""),"")</f>
        <v/>
      </c>
    </row>
    <row r="267" spans="1:14" hidden="1" x14ac:dyDescent="0.2">
      <c r="A267" t="s">
        <v>405</v>
      </c>
      <c r="B267" t="s">
        <v>87</v>
      </c>
      <c r="C267" t="s">
        <v>314</v>
      </c>
      <c r="D267" t="s">
        <v>31</v>
      </c>
      <c r="H267">
        <v>1</v>
      </c>
      <c r="I267" t="s">
        <v>21</v>
      </c>
      <c r="J267" t="s">
        <v>22</v>
      </c>
      <c r="N267" t="str">
        <f ca="1">IFERROR(_xludf.XLOOKUP($F267&amp;"."&amp;$G267,CaseSource!$A$2:$A$371,CaseSource!$B$2:$B$371,""),"")</f>
        <v/>
      </c>
    </row>
    <row r="268" spans="1:14" hidden="1" x14ac:dyDescent="0.2">
      <c r="A268" t="s">
        <v>406</v>
      </c>
      <c r="B268" t="s">
        <v>87</v>
      </c>
      <c r="C268" t="s">
        <v>314</v>
      </c>
      <c r="D268" t="s">
        <v>31</v>
      </c>
      <c r="H268">
        <v>1</v>
      </c>
      <c r="I268" t="s">
        <v>21</v>
      </c>
      <c r="J268" t="s">
        <v>22</v>
      </c>
      <c r="N268" t="str">
        <f ca="1">IFERROR(_xludf.XLOOKUP($F268&amp;"."&amp;$G268,CaseSource!$A$2:$A$371,CaseSource!$B$2:$B$371,""),"")</f>
        <v/>
      </c>
    </row>
    <row r="269" spans="1:14" hidden="1" x14ac:dyDescent="0.2">
      <c r="A269" t="s">
        <v>407</v>
      </c>
      <c r="B269" t="s">
        <v>87</v>
      </c>
      <c r="C269" t="s">
        <v>314</v>
      </c>
      <c r="D269" t="s">
        <v>31</v>
      </c>
      <c r="H269">
        <v>1</v>
      </c>
      <c r="I269" t="s">
        <v>21</v>
      </c>
      <c r="J269" t="s">
        <v>22</v>
      </c>
      <c r="N269" t="str">
        <f ca="1">IFERROR(_xludf.XLOOKUP($F269&amp;"."&amp;$G269,CaseSource!$A$2:$A$371,CaseSource!$B$2:$B$371,""),"")</f>
        <v/>
      </c>
    </row>
    <row r="270" spans="1:14" hidden="1" x14ac:dyDescent="0.2">
      <c r="A270" t="s">
        <v>408</v>
      </c>
      <c r="B270" t="s">
        <v>87</v>
      </c>
      <c r="C270" t="s">
        <v>314</v>
      </c>
      <c r="D270" t="s">
        <v>31</v>
      </c>
      <c r="H270">
        <v>1</v>
      </c>
      <c r="I270" t="s">
        <v>21</v>
      </c>
      <c r="J270" t="s">
        <v>22</v>
      </c>
      <c r="N270" t="str">
        <f ca="1">IFERROR(_xludf.XLOOKUP($F270&amp;"."&amp;$G270,CaseSource!$A$2:$A$371,CaseSource!$B$2:$B$371,""),"")</f>
        <v/>
      </c>
    </row>
    <row r="271" spans="1:14" hidden="1" x14ac:dyDescent="0.2">
      <c r="A271" t="s">
        <v>409</v>
      </c>
      <c r="B271" t="s">
        <v>87</v>
      </c>
      <c r="C271" t="s">
        <v>314</v>
      </c>
      <c r="D271" t="s">
        <v>31</v>
      </c>
      <c r="H271">
        <v>1</v>
      </c>
      <c r="I271" t="s">
        <v>21</v>
      </c>
      <c r="J271" t="s">
        <v>22</v>
      </c>
      <c r="N271" t="str">
        <f ca="1">IFERROR(_xludf.XLOOKUP($F271&amp;"."&amp;$G271,CaseSource!$A$2:$A$371,CaseSource!$B$2:$B$371,""),"")</f>
        <v/>
      </c>
    </row>
    <row r="272" spans="1:14" hidden="1" x14ac:dyDescent="0.2">
      <c r="A272" t="s">
        <v>410</v>
      </c>
      <c r="B272" t="s">
        <v>87</v>
      </c>
      <c r="C272" t="s">
        <v>314</v>
      </c>
      <c r="D272" t="s">
        <v>31</v>
      </c>
      <c r="H272">
        <v>1</v>
      </c>
      <c r="I272" t="s">
        <v>21</v>
      </c>
      <c r="J272" t="s">
        <v>22</v>
      </c>
      <c r="N272" t="str">
        <f ca="1">IFERROR(_xludf.XLOOKUP($F272&amp;"."&amp;$G272,CaseSource!$A$2:$A$371,CaseSource!$B$2:$B$371,""),"")</f>
        <v/>
      </c>
    </row>
    <row r="273" spans="1:14" hidden="1" x14ac:dyDescent="0.2">
      <c r="A273" t="s">
        <v>412</v>
      </c>
      <c r="B273" t="s">
        <v>87</v>
      </c>
      <c r="C273" t="s">
        <v>314</v>
      </c>
      <c r="D273" t="s">
        <v>31</v>
      </c>
      <c r="H273">
        <v>1</v>
      </c>
      <c r="I273" t="s">
        <v>21</v>
      </c>
      <c r="J273" t="s">
        <v>22</v>
      </c>
      <c r="N273" t="str">
        <f ca="1">IFERROR(_xludf.XLOOKUP($F273&amp;"."&amp;$G273,CaseSource!$A$2:$A$371,CaseSource!$B$2:$B$371,""),"")</f>
        <v/>
      </c>
    </row>
    <row r="274" spans="1:14" hidden="1" x14ac:dyDescent="0.2">
      <c r="A274" t="s">
        <v>413</v>
      </c>
      <c r="B274" t="s">
        <v>87</v>
      </c>
      <c r="C274" t="s">
        <v>314</v>
      </c>
      <c r="D274" t="s">
        <v>31</v>
      </c>
      <c r="H274">
        <v>1</v>
      </c>
      <c r="I274" t="s">
        <v>21</v>
      </c>
      <c r="J274" t="s">
        <v>22</v>
      </c>
      <c r="N274" t="str">
        <f ca="1">IFERROR(_xludf.XLOOKUP($F274&amp;"."&amp;$G274,CaseSource!$A$2:$A$371,CaseSource!$B$2:$B$371,""),"")</f>
        <v/>
      </c>
    </row>
    <row r="275" spans="1:14" hidden="1" x14ac:dyDescent="0.2">
      <c r="A275" t="s">
        <v>414</v>
      </c>
      <c r="B275" t="s">
        <v>87</v>
      </c>
      <c r="C275" t="s">
        <v>314</v>
      </c>
      <c r="D275" t="s">
        <v>31</v>
      </c>
      <c r="H275">
        <v>1</v>
      </c>
      <c r="I275" t="s">
        <v>21</v>
      </c>
      <c r="J275" t="s">
        <v>22</v>
      </c>
      <c r="N275" t="str">
        <f ca="1">IFERROR(_xludf.XLOOKUP($F275&amp;"."&amp;$G275,CaseSource!$A$2:$A$371,CaseSource!$B$2:$B$371,""),"")</f>
        <v/>
      </c>
    </row>
    <row r="276" spans="1:14" hidden="1" x14ac:dyDescent="0.2">
      <c r="A276" t="s">
        <v>415</v>
      </c>
      <c r="B276" t="s">
        <v>87</v>
      </c>
      <c r="C276" t="s">
        <v>314</v>
      </c>
      <c r="D276" t="s">
        <v>31</v>
      </c>
      <c r="H276">
        <v>1</v>
      </c>
      <c r="I276" t="s">
        <v>21</v>
      </c>
      <c r="J276" t="s">
        <v>22</v>
      </c>
      <c r="N276" t="str">
        <f ca="1">IFERROR(_xludf.XLOOKUP($F276&amp;"."&amp;$G276,CaseSource!$A$2:$A$371,CaseSource!$B$2:$B$371,""),"")</f>
        <v/>
      </c>
    </row>
    <row r="277" spans="1:14" hidden="1" x14ac:dyDescent="0.2">
      <c r="A277" t="s">
        <v>416</v>
      </c>
      <c r="B277" t="s">
        <v>87</v>
      </c>
      <c r="C277" t="s">
        <v>314</v>
      </c>
      <c r="D277" t="s">
        <v>31</v>
      </c>
      <c r="H277">
        <v>1</v>
      </c>
      <c r="I277" t="s">
        <v>21</v>
      </c>
      <c r="J277" t="s">
        <v>22</v>
      </c>
      <c r="N277" t="str">
        <f ca="1">IFERROR(_xludf.XLOOKUP($F277&amp;"."&amp;$G277,CaseSource!$A$2:$A$371,CaseSource!$B$2:$B$371,""),"")</f>
        <v/>
      </c>
    </row>
    <row r="278" spans="1:14" hidden="1" x14ac:dyDescent="0.2">
      <c r="A278" t="s">
        <v>417</v>
      </c>
      <c r="B278" t="s">
        <v>87</v>
      </c>
      <c r="C278" t="s">
        <v>314</v>
      </c>
      <c r="D278" t="s">
        <v>31</v>
      </c>
      <c r="H278">
        <v>1</v>
      </c>
      <c r="I278" t="s">
        <v>21</v>
      </c>
      <c r="J278" t="s">
        <v>22</v>
      </c>
      <c r="N278" t="str">
        <f ca="1">IFERROR(_xludf.XLOOKUP($F278&amp;"."&amp;$G278,CaseSource!$A$2:$A$371,CaseSource!$B$2:$B$371,""),"")</f>
        <v/>
      </c>
    </row>
    <row r="279" spans="1:14" hidden="1" x14ac:dyDescent="0.2">
      <c r="A279" t="s">
        <v>419</v>
      </c>
      <c r="B279" t="s">
        <v>87</v>
      </c>
      <c r="C279" t="s">
        <v>314</v>
      </c>
      <c r="D279" t="s">
        <v>31</v>
      </c>
      <c r="H279">
        <v>1</v>
      </c>
      <c r="I279" t="s">
        <v>21</v>
      </c>
      <c r="J279" t="s">
        <v>22</v>
      </c>
      <c r="N279" t="str">
        <f ca="1">IFERROR(_xludf.XLOOKUP($F279&amp;"."&amp;$G279,CaseSource!$A$2:$A$371,CaseSource!$B$2:$B$371,""),"")</f>
        <v/>
      </c>
    </row>
    <row r="280" spans="1:14" hidden="1" x14ac:dyDescent="0.2">
      <c r="A280" t="s">
        <v>420</v>
      </c>
      <c r="B280" t="s">
        <v>87</v>
      </c>
      <c r="C280" t="s">
        <v>314</v>
      </c>
      <c r="D280" t="s">
        <v>31</v>
      </c>
      <c r="H280">
        <v>1</v>
      </c>
      <c r="I280" t="s">
        <v>21</v>
      </c>
      <c r="J280" t="s">
        <v>22</v>
      </c>
      <c r="N280" t="str">
        <f ca="1">IFERROR(_xludf.XLOOKUP($F280&amp;"."&amp;$G280,CaseSource!$A$2:$A$371,CaseSource!$B$2:$B$371,""),"")</f>
        <v/>
      </c>
    </row>
    <row r="281" spans="1:14" hidden="1" x14ac:dyDescent="0.2">
      <c r="A281" t="s">
        <v>423</v>
      </c>
      <c r="B281" t="s">
        <v>87</v>
      </c>
      <c r="C281" t="s">
        <v>314</v>
      </c>
      <c r="D281" t="s">
        <v>31</v>
      </c>
      <c r="H281">
        <v>1</v>
      </c>
      <c r="I281" t="s">
        <v>21</v>
      </c>
      <c r="J281" t="s">
        <v>22</v>
      </c>
      <c r="N281" t="str">
        <f ca="1">IFERROR(_xludf.XLOOKUP($F281&amp;"."&amp;$G281,CaseSource!$A$2:$A$371,CaseSource!$B$2:$B$371,""),"")</f>
        <v/>
      </c>
    </row>
    <row r="282" spans="1:14" hidden="1" x14ac:dyDescent="0.2">
      <c r="A282" t="s">
        <v>424</v>
      </c>
      <c r="B282" t="s">
        <v>87</v>
      </c>
      <c r="C282" t="s">
        <v>314</v>
      </c>
      <c r="D282" t="s">
        <v>31</v>
      </c>
      <c r="H282">
        <v>1</v>
      </c>
      <c r="I282" t="s">
        <v>21</v>
      </c>
      <c r="J282" t="s">
        <v>22</v>
      </c>
      <c r="N282" t="str">
        <f ca="1">IFERROR(_xludf.XLOOKUP($F282&amp;"."&amp;$G282,CaseSource!$A$2:$A$371,CaseSource!$B$2:$B$371,""),"")</f>
        <v/>
      </c>
    </row>
    <row r="283" spans="1:14" hidden="1" x14ac:dyDescent="0.2">
      <c r="A283" t="s">
        <v>429</v>
      </c>
      <c r="B283" t="s">
        <v>87</v>
      </c>
      <c r="C283" t="s">
        <v>182</v>
      </c>
      <c r="D283" t="s">
        <v>31</v>
      </c>
      <c r="H283">
        <v>1</v>
      </c>
      <c r="I283" t="s">
        <v>21</v>
      </c>
      <c r="J283" t="s">
        <v>22</v>
      </c>
      <c r="N283" t="str">
        <f ca="1">IFERROR(_xludf.XLOOKUP($F283&amp;"."&amp;$G283,CaseSource!$A$2:$A$371,CaseSource!$B$2:$B$371,""),"")</f>
        <v/>
      </c>
    </row>
    <row r="284" spans="1:14" hidden="1" x14ac:dyDescent="0.2">
      <c r="A284" t="s">
        <v>431</v>
      </c>
      <c r="B284" t="s">
        <v>87</v>
      </c>
      <c r="C284" t="s">
        <v>432</v>
      </c>
      <c r="D284" t="s">
        <v>31</v>
      </c>
      <c r="H284">
        <v>1</v>
      </c>
      <c r="I284" t="s">
        <v>21</v>
      </c>
      <c r="J284" t="s">
        <v>22</v>
      </c>
      <c r="N284" t="str">
        <f ca="1">IFERROR(_xludf.XLOOKUP($F284&amp;"."&amp;$G284,CaseSource!$A$2:$A$371,CaseSource!$B$2:$B$371,""),"")</f>
        <v/>
      </c>
    </row>
    <row r="285" spans="1:14" hidden="1" x14ac:dyDescent="0.2">
      <c r="A285" t="s">
        <v>433</v>
      </c>
      <c r="B285" t="s">
        <v>87</v>
      </c>
      <c r="C285" t="s">
        <v>432</v>
      </c>
      <c r="D285" t="s">
        <v>31</v>
      </c>
      <c r="H285">
        <v>1</v>
      </c>
      <c r="I285" t="s">
        <v>21</v>
      </c>
      <c r="J285" t="s">
        <v>22</v>
      </c>
      <c r="N285" t="str">
        <f ca="1">IFERROR(_xludf.XLOOKUP($F285&amp;"."&amp;$G285,CaseSource!$A$2:$A$371,CaseSource!$B$2:$B$371,""),"")</f>
        <v/>
      </c>
    </row>
    <row r="286" spans="1:14" hidden="1" x14ac:dyDescent="0.2">
      <c r="A286" t="s">
        <v>438</v>
      </c>
      <c r="B286" t="s">
        <v>87</v>
      </c>
      <c r="C286" t="s">
        <v>16</v>
      </c>
      <c r="D286" t="s">
        <v>31</v>
      </c>
      <c r="H286">
        <v>1</v>
      </c>
      <c r="I286" t="s">
        <v>21</v>
      </c>
      <c r="J286" t="s">
        <v>22</v>
      </c>
      <c r="N286" t="str">
        <f ca="1">IFERROR(_xludf.XLOOKUP($F286&amp;"."&amp;$G286,CaseSource!$A$2:$A$371,CaseSource!$B$2:$B$371,""),"")</f>
        <v/>
      </c>
    </row>
    <row r="287" spans="1:14" hidden="1" x14ac:dyDescent="0.2">
      <c r="A287" t="s">
        <v>439</v>
      </c>
      <c r="B287" t="s">
        <v>87</v>
      </c>
      <c r="C287" t="s">
        <v>440</v>
      </c>
      <c r="D287" t="s">
        <v>31</v>
      </c>
      <c r="H287">
        <v>1</v>
      </c>
      <c r="I287" t="s">
        <v>21</v>
      </c>
      <c r="J287" t="s">
        <v>22</v>
      </c>
      <c r="N287" t="str">
        <f ca="1">IFERROR(_xludf.XLOOKUP($F287&amp;"."&amp;$G287,CaseSource!$A$2:$A$371,CaseSource!$B$2:$B$371,""),"")</f>
        <v/>
      </c>
    </row>
    <row r="288" spans="1:14" hidden="1" x14ac:dyDescent="0.2">
      <c r="A288" t="s">
        <v>445</v>
      </c>
      <c r="B288" t="s">
        <v>87</v>
      </c>
      <c r="C288" t="s">
        <v>120</v>
      </c>
      <c r="D288" t="s">
        <v>31</v>
      </c>
      <c r="H288">
        <v>1</v>
      </c>
      <c r="I288" t="s">
        <v>21</v>
      </c>
      <c r="J288" t="s">
        <v>22</v>
      </c>
      <c r="N288" t="str">
        <f ca="1">IFERROR(_xludf.XLOOKUP($F288&amp;"."&amp;$G288,CaseSource!$A$2:$A$371,CaseSource!$B$2:$B$371,""),"")</f>
        <v/>
      </c>
    </row>
    <row r="289" spans="1:14" hidden="1" x14ac:dyDescent="0.2">
      <c r="A289" t="s">
        <v>446</v>
      </c>
      <c r="B289" t="s">
        <v>87</v>
      </c>
      <c r="C289" t="s">
        <v>120</v>
      </c>
      <c r="D289" t="s">
        <v>31</v>
      </c>
      <c r="H289">
        <v>1</v>
      </c>
      <c r="I289" t="s">
        <v>21</v>
      </c>
      <c r="J289" t="s">
        <v>22</v>
      </c>
      <c r="N289" t="str">
        <f ca="1">IFERROR(_xludf.XLOOKUP($F289&amp;"."&amp;$G289,CaseSource!$A$2:$A$371,CaseSource!$B$2:$B$371,""),"")</f>
        <v/>
      </c>
    </row>
    <row r="290" spans="1:14" hidden="1" x14ac:dyDescent="0.2">
      <c r="A290" t="s">
        <v>447</v>
      </c>
      <c r="B290" t="s">
        <v>87</v>
      </c>
      <c r="C290" t="s">
        <v>448</v>
      </c>
      <c r="D290" t="s">
        <v>31</v>
      </c>
      <c r="H290">
        <v>1</v>
      </c>
      <c r="I290" t="s">
        <v>21</v>
      </c>
      <c r="J290" t="s">
        <v>22</v>
      </c>
      <c r="N290" t="str">
        <f ca="1">IFERROR(_xludf.XLOOKUP($F290&amp;"."&amp;$G290,CaseSource!$A$2:$A$371,CaseSource!$B$2:$B$371,""),"")</f>
        <v/>
      </c>
    </row>
    <row r="291" spans="1:14" hidden="1" x14ac:dyDescent="0.2">
      <c r="A291" t="s">
        <v>484</v>
      </c>
      <c r="B291" t="s">
        <v>87</v>
      </c>
      <c r="C291" t="s">
        <v>182</v>
      </c>
      <c r="D291" t="s">
        <v>31</v>
      </c>
      <c r="H291">
        <v>1</v>
      </c>
      <c r="I291" t="s">
        <v>21</v>
      </c>
      <c r="J291" t="s">
        <v>22</v>
      </c>
      <c r="N291" t="str">
        <f ca="1">IFERROR(_xludf.XLOOKUP($F291&amp;"."&amp;$G291,CaseSource!$A$2:$A$371,CaseSource!$B$2:$B$371,""),"")</f>
        <v/>
      </c>
    </row>
    <row r="292" spans="1:14" hidden="1" x14ac:dyDescent="0.2">
      <c r="A292" t="s">
        <v>486</v>
      </c>
      <c r="B292" t="s">
        <v>87</v>
      </c>
      <c r="C292" t="s">
        <v>487</v>
      </c>
      <c r="D292" t="s">
        <v>31</v>
      </c>
      <c r="H292">
        <v>1</v>
      </c>
      <c r="I292" t="s">
        <v>21</v>
      </c>
      <c r="J292" t="s">
        <v>22</v>
      </c>
      <c r="N292" t="str">
        <f ca="1">IFERROR(_xludf.XLOOKUP($F292&amp;"."&amp;$G292,CaseSource!$A$2:$A$371,CaseSource!$B$2:$B$371,""),"")</f>
        <v/>
      </c>
    </row>
    <row r="293" spans="1:14" hidden="1" x14ac:dyDescent="0.2">
      <c r="A293" t="s">
        <v>489</v>
      </c>
      <c r="B293" t="s">
        <v>87</v>
      </c>
      <c r="C293" t="s">
        <v>487</v>
      </c>
      <c r="D293" t="s">
        <v>31</v>
      </c>
      <c r="H293">
        <v>1</v>
      </c>
      <c r="I293" t="s">
        <v>21</v>
      </c>
      <c r="J293" t="s">
        <v>22</v>
      </c>
      <c r="N293" t="str">
        <f ca="1">IFERROR(_xludf.XLOOKUP($F293&amp;"."&amp;$G293,CaseSource!$A$2:$A$371,CaseSource!$B$2:$B$371,""),"")</f>
        <v/>
      </c>
    </row>
    <row r="294" spans="1:14" hidden="1" x14ac:dyDescent="0.2">
      <c r="A294" t="s">
        <v>491</v>
      </c>
      <c r="B294" t="s">
        <v>87</v>
      </c>
      <c r="C294" t="s">
        <v>487</v>
      </c>
      <c r="D294" t="s">
        <v>31</v>
      </c>
      <c r="H294">
        <v>1</v>
      </c>
      <c r="I294" t="s">
        <v>21</v>
      </c>
      <c r="J294" t="s">
        <v>22</v>
      </c>
      <c r="N294" t="str">
        <f ca="1">IFERROR(_xludf.XLOOKUP($F294&amp;"."&amp;$G294,CaseSource!$A$2:$A$371,CaseSource!$B$2:$B$371,""),"")</f>
        <v/>
      </c>
    </row>
    <row r="295" spans="1:14" hidden="1" x14ac:dyDescent="0.2">
      <c r="A295" t="s">
        <v>492</v>
      </c>
      <c r="B295" t="s">
        <v>87</v>
      </c>
      <c r="C295" t="s">
        <v>487</v>
      </c>
      <c r="D295" t="s">
        <v>31</v>
      </c>
      <c r="H295">
        <v>1</v>
      </c>
      <c r="I295" t="s">
        <v>21</v>
      </c>
      <c r="J295" t="s">
        <v>22</v>
      </c>
      <c r="N295" t="str">
        <f ca="1">IFERROR(_xludf.XLOOKUP($F295&amp;"."&amp;$G295,CaseSource!$A$2:$A$371,CaseSource!$B$2:$B$371,""),"")</f>
        <v/>
      </c>
    </row>
    <row r="296" spans="1:14" hidden="1" x14ac:dyDescent="0.2">
      <c r="A296" t="s">
        <v>493</v>
      </c>
      <c r="B296" t="s">
        <v>87</v>
      </c>
      <c r="C296" t="s">
        <v>487</v>
      </c>
      <c r="D296" t="s">
        <v>31</v>
      </c>
      <c r="H296">
        <v>1</v>
      </c>
      <c r="I296" t="s">
        <v>21</v>
      </c>
      <c r="J296" t="s">
        <v>22</v>
      </c>
      <c r="N296" t="str">
        <f ca="1">IFERROR(_xludf.XLOOKUP($F296&amp;"."&amp;$G296,CaseSource!$A$2:$A$371,CaseSource!$B$2:$B$371,""),"")</f>
        <v/>
      </c>
    </row>
    <row r="297" spans="1:14" hidden="1" x14ac:dyDescent="0.2">
      <c r="A297" t="s">
        <v>494</v>
      </c>
      <c r="B297" t="s">
        <v>87</v>
      </c>
      <c r="C297" t="s">
        <v>487</v>
      </c>
      <c r="D297" t="s">
        <v>31</v>
      </c>
      <c r="H297">
        <v>1</v>
      </c>
      <c r="I297" t="s">
        <v>21</v>
      </c>
      <c r="J297" t="s">
        <v>22</v>
      </c>
      <c r="N297" t="str">
        <f ca="1">IFERROR(_xludf.XLOOKUP($F297&amp;"."&amp;$G297,CaseSource!$A$2:$A$371,CaseSource!$B$2:$B$371,""),"")</f>
        <v/>
      </c>
    </row>
    <row r="298" spans="1:14" hidden="1" x14ac:dyDescent="0.2">
      <c r="A298" t="s">
        <v>495</v>
      </c>
      <c r="B298" t="s">
        <v>87</v>
      </c>
      <c r="C298" t="s">
        <v>487</v>
      </c>
      <c r="D298" t="s">
        <v>31</v>
      </c>
      <c r="H298">
        <v>1</v>
      </c>
      <c r="I298" t="s">
        <v>21</v>
      </c>
      <c r="J298" t="s">
        <v>22</v>
      </c>
      <c r="N298" t="str">
        <f ca="1">IFERROR(_xludf.XLOOKUP($F298&amp;"."&amp;$G298,CaseSource!$A$2:$A$371,CaseSource!$B$2:$B$371,""),"")</f>
        <v/>
      </c>
    </row>
    <row r="299" spans="1:14" hidden="1" x14ac:dyDescent="0.2">
      <c r="A299" t="s">
        <v>496</v>
      </c>
      <c r="B299" t="s">
        <v>87</v>
      </c>
      <c r="C299" t="s">
        <v>487</v>
      </c>
      <c r="D299" t="s">
        <v>31</v>
      </c>
      <c r="H299">
        <v>1</v>
      </c>
      <c r="I299" t="s">
        <v>21</v>
      </c>
      <c r="J299" t="s">
        <v>22</v>
      </c>
      <c r="N299" t="str">
        <f ca="1">IFERROR(_xludf.XLOOKUP($F299&amp;"."&amp;$G299,CaseSource!$A$2:$A$371,CaseSource!$B$2:$B$371,""),"")</f>
        <v/>
      </c>
    </row>
    <row r="300" spans="1:14" hidden="1" x14ac:dyDescent="0.2">
      <c r="A300" t="s">
        <v>497</v>
      </c>
      <c r="B300" t="s">
        <v>87</v>
      </c>
      <c r="C300" t="s">
        <v>487</v>
      </c>
      <c r="D300" t="s">
        <v>31</v>
      </c>
      <c r="H300">
        <v>1</v>
      </c>
      <c r="I300" t="s">
        <v>21</v>
      </c>
      <c r="J300" t="s">
        <v>22</v>
      </c>
      <c r="N300" t="str">
        <f ca="1">IFERROR(_xludf.XLOOKUP($F300&amp;"."&amp;$G300,CaseSource!$A$2:$A$371,CaseSource!$B$2:$B$371,""),"")</f>
        <v/>
      </c>
    </row>
    <row r="301" spans="1:14" hidden="1" x14ac:dyDescent="0.2">
      <c r="A301" t="s">
        <v>498</v>
      </c>
      <c r="B301" t="s">
        <v>87</v>
      </c>
      <c r="C301" t="s">
        <v>487</v>
      </c>
      <c r="D301" t="s">
        <v>31</v>
      </c>
      <c r="H301">
        <v>1</v>
      </c>
      <c r="I301" t="s">
        <v>21</v>
      </c>
      <c r="J301" t="s">
        <v>22</v>
      </c>
      <c r="N301" t="str">
        <f ca="1">IFERROR(_xludf.XLOOKUP($F301&amp;"."&amp;$G301,CaseSource!$A$2:$A$371,CaseSource!$B$2:$B$371,""),"")</f>
        <v/>
      </c>
    </row>
    <row r="302" spans="1:14" hidden="1" x14ac:dyDescent="0.2">
      <c r="A302" t="s">
        <v>499</v>
      </c>
      <c r="B302" t="s">
        <v>87</v>
      </c>
      <c r="C302" t="s">
        <v>487</v>
      </c>
      <c r="D302" t="s">
        <v>31</v>
      </c>
      <c r="H302">
        <v>1</v>
      </c>
      <c r="I302" t="s">
        <v>21</v>
      </c>
      <c r="J302" t="s">
        <v>22</v>
      </c>
      <c r="N302" t="str">
        <f ca="1">IFERROR(_xludf.XLOOKUP($F302&amp;"."&amp;$G302,CaseSource!$A$2:$A$371,CaseSource!$B$2:$B$371,""),"")</f>
        <v/>
      </c>
    </row>
    <row r="303" spans="1:14" hidden="1" x14ac:dyDescent="0.2">
      <c r="A303" t="s">
        <v>500</v>
      </c>
      <c r="B303" t="s">
        <v>87</v>
      </c>
      <c r="C303" t="s">
        <v>487</v>
      </c>
      <c r="D303" t="s">
        <v>31</v>
      </c>
      <c r="H303">
        <v>1</v>
      </c>
      <c r="I303" t="s">
        <v>21</v>
      </c>
      <c r="J303" t="s">
        <v>22</v>
      </c>
      <c r="N303" t="str">
        <f ca="1">IFERROR(_xludf.XLOOKUP($F303&amp;"."&amp;$G303,CaseSource!$A$2:$A$371,CaseSource!$B$2:$B$371,""),"")</f>
        <v/>
      </c>
    </row>
    <row r="304" spans="1:14" hidden="1" x14ac:dyDescent="0.2">
      <c r="A304" t="s">
        <v>501</v>
      </c>
      <c r="B304" t="s">
        <v>87</v>
      </c>
      <c r="C304" t="s">
        <v>487</v>
      </c>
      <c r="D304" t="s">
        <v>31</v>
      </c>
      <c r="H304">
        <v>1</v>
      </c>
      <c r="I304" t="s">
        <v>21</v>
      </c>
      <c r="J304" t="s">
        <v>22</v>
      </c>
      <c r="N304" t="str">
        <f ca="1">IFERROR(_xludf.XLOOKUP($F304&amp;"."&amp;$G304,CaseSource!$A$2:$A$371,CaseSource!$B$2:$B$371,""),"")</f>
        <v/>
      </c>
    </row>
    <row r="305" spans="1:14" hidden="1" x14ac:dyDescent="0.2">
      <c r="A305" t="s">
        <v>502</v>
      </c>
      <c r="B305" t="s">
        <v>87</v>
      </c>
      <c r="C305" t="s">
        <v>487</v>
      </c>
      <c r="D305" t="s">
        <v>31</v>
      </c>
      <c r="H305">
        <v>1</v>
      </c>
      <c r="I305" t="s">
        <v>21</v>
      </c>
      <c r="J305" t="s">
        <v>22</v>
      </c>
      <c r="N305" t="str">
        <f ca="1">IFERROR(_xludf.XLOOKUP($F305&amp;"."&amp;$G305,CaseSource!$A$2:$A$371,CaseSource!$B$2:$B$371,""),"")</f>
        <v/>
      </c>
    </row>
    <row r="306" spans="1:14" hidden="1" x14ac:dyDescent="0.2">
      <c r="A306" t="s">
        <v>504</v>
      </c>
      <c r="B306" t="s">
        <v>87</v>
      </c>
      <c r="C306" t="s">
        <v>487</v>
      </c>
      <c r="D306" t="s">
        <v>31</v>
      </c>
      <c r="H306">
        <v>1</v>
      </c>
      <c r="I306" t="s">
        <v>21</v>
      </c>
      <c r="J306" t="s">
        <v>22</v>
      </c>
      <c r="N306" t="str">
        <f ca="1">IFERROR(_xludf.XLOOKUP($F306&amp;"."&amp;$G306,CaseSource!$A$2:$A$371,CaseSource!$B$2:$B$371,""),"")</f>
        <v/>
      </c>
    </row>
    <row r="307" spans="1:14" hidden="1" x14ac:dyDescent="0.2">
      <c r="A307" t="s">
        <v>505</v>
      </c>
      <c r="B307" t="s">
        <v>87</v>
      </c>
      <c r="C307" t="s">
        <v>487</v>
      </c>
      <c r="D307" t="s">
        <v>31</v>
      </c>
      <c r="H307">
        <v>1</v>
      </c>
      <c r="I307" t="s">
        <v>21</v>
      </c>
      <c r="J307" t="s">
        <v>22</v>
      </c>
      <c r="N307" t="str">
        <f ca="1">IFERROR(_xludf.XLOOKUP($F307&amp;"."&amp;$G307,CaseSource!$A$2:$A$371,CaseSource!$B$2:$B$371,""),"")</f>
        <v/>
      </c>
    </row>
    <row r="308" spans="1:14" hidden="1" x14ac:dyDescent="0.2">
      <c r="A308" t="s">
        <v>506</v>
      </c>
      <c r="B308" t="s">
        <v>87</v>
      </c>
      <c r="C308" t="s">
        <v>487</v>
      </c>
      <c r="D308" t="s">
        <v>31</v>
      </c>
      <c r="H308">
        <v>1</v>
      </c>
      <c r="I308" t="s">
        <v>21</v>
      </c>
      <c r="J308" t="s">
        <v>22</v>
      </c>
      <c r="N308" t="str">
        <f ca="1">IFERROR(_xludf.XLOOKUP($F308&amp;"."&amp;$G308,CaseSource!$A$2:$A$371,CaseSource!$B$2:$B$371,""),"")</f>
        <v/>
      </c>
    </row>
    <row r="309" spans="1:14" hidden="1" x14ac:dyDescent="0.2">
      <c r="A309" t="s">
        <v>507</v>
      </c>
      <c r="B309" t="s">
        <v>87</v>
      </c>
      <c r="C309" t="s">
        <v>487</v>
      </c>
      <c r="D309" t="s">
        <v>31</v>
      </c>
      <c r="H309">
        <v>1</v>
      </c>
      <c r="I309" t="s">
        <v>21</v>
      </c>
      <c r="J309" t="s">
        <v>22</v>
      </c>
      <c r="N309" t="str">
        <f ca="1">IFERROR(_xludf.XLOOKUP($F309&amp;"."&amp;$G309,CaseSource!$A$2:$A$371,CaseSource!$B$2:$B$371,""),"")</f>
        <v/>
      </c>
    </row>
    <row r="310" spans="1:14" hidden="1" x14ac:dyDescent="0.2">
      <c r="A310" t="s">
        <v>508</v>
      </c>
      <c r="B310" t="s">
        <v>87</v>
      </c>
      <c r="C310" t="s">
        <v>487</v>
      </c>
      <c r="D310" t="s">
        <v>31</v>
      </c>
      <c r="H310">
        <v>1</v>
      </c>
      <c r="I310" t="s">
        <v>21</v>
      </c>
      <c r="J310" t="s">
        <v>22</v>
      </c>
      <c r="N310" t="str">
        <f ca="1">IFERROR(_xludf.XLOOKUP($F310&amp;"."&amp;$G310,CaseSource!$A$2:$A$371,CaseSource!$B$2:$B$371,""),"")</f>
        <v/>
      </c>
    </row>
    <row r="311" spans="1:14" hidden="1" x14ac:dyDescent="0.2">
      <c r="A311" t="s">
        <v>509</v>
      </c>
      <c r="B311" t="s">
        <v>87</v>
      </c>
      <c r="C311" t="s">
        <v>487</v>
      </c>
      <c r="D311" t="s">
        <v>31</v>
      </c>
      <c r="H311">
        <v>1</v>
      </c>
      <c r="I311" t="s">
        <v>21</v>
      </c>
      <c r="J311" t="s">
        <v>22</v>
      </c>
      <c r="N311" t="str">
        <f ca="1">IFERROR(_xludf.XLOOKUP($F311&amp;"."&amp;$G311,CaseSource!$A$2:$A$371,CaseSource!$B$2:$B$371,""),"")</f>
        <v/>
      </c>
    </row>
    <row r="312" spans="1:14" hidden="1" x14ac:dyDescent="0.2">
      <c r="A312" t="s">
        <v>510</v>
      </c>
      <c r="B312" t="s">
        <v>87</v>
      </c>
      <c r="C312" t="s">
        <v>487</v>
      </c>
      <c r="D312" t="s">
        <v>31</v>
      </c>
      <c r="H312">
        <v>1</v>
      </c>
      <c r="I312" t="s">
        <v>21</v>
      </c>
      <c r="J312" t="s">
        <v>22</v>
      </c>
      <c r="N312" t="str">
        <f ca="1">IFERROR(_xludf.XLOOKUP($F312&amp;"."&amp;$G312,CaseSource!$A$2:$A$371,CaseSource!$B$2:$B$371,""),"")</f>
        <v/>
      </c>
    </row>
    <row r="313" spans="1:14" hidden="1" x14ac:dyDescent="0.2">
      <c r="A313" t="s">
        <v>511</v>
      </c>
      <c r="B313" t="s">
        <v>87</v>
      </c>
      <c r="C313" t="s">
        <v>487</v>
      </c>
      <c r="D313" t="s">
        <v>31</v>
      </c>
      <c r="H313">
        <v>1</v>
      </c>
      <c r="I313" t="s">
        <v>21</v>
      </c>
      <c r="J313" t="s">
        <v>22</v>
      </c>
      <c r="N313" t="str">
        <f ca="1">IFERROR(_xludf.XLOOKUP($F313&amp;"."&amp;$G313,CaseSource!$A$2:$A$371,CaseSource!$B$2:$B$371,""),"")</f>
        <v/>
      </c>
    </row>
    <row r="314" spans="1:14" hidden="1" x14ac:dyDescent="0.2">
      <c r="A314" t="s">
        <v>513</v>
      </c>
      <c r="B314" t="s">
        <v>87</v>
      </c>
      <c r="C314" t="s">
        <v>487</v>
      </c>
      <c r="D314" t="s">
        <v>31</v>
      </c>
      <c r="H314">
        <v>1</v>
      </c>
      <c r="I314" t="s">
        <v>21</v>
      </c>
      <c r="J314" t="s">
        <v>22</v>
      </c>
      <c r="N314" t="str">
        <f ca="1">IFERROR(_xludf.XLOOKUP($F314&amp;"."&amp;$G314,CaseSource!$A$2:$A$371,CaseSource!$B$2:$B$371,""),"")</f>
        <v/>
      </c>
    </row>
    <row r="315" spans="1:14" hidden="1" x14ac:dyDescent="0.2">
      <c r="A315" t="s">
        <v>514</v>
      </c>
      <c r="B315" t="s">
        <v>87</v>
      </c>
      <c r="C315" t="s">
        <v>487</v>
      </c>
      <c r="D315" t="s">
        <v>31</v>
      </c>
      <c r="H315">
        <v>1</v>
      </c>
      <c r="I315" t="s">
        <v>21</v>
      </c>
      <c r="J315" t="s">
        <v>22</v>
      </c>
      <c r="N315" t="str">
        <f ca="1">IFERROR(_xludf.XLOOKUP($F315&amp;"."&amp;$G315,CaseSource!$A$2:$A$371,CaseSource!$B$2:$B$371,""),"")</f>
        <v/>
      </c>
    </row>
    <row r="316" spans="1:14" hidden="1" x14ac:dyDescent="0.2">
      <c r="A316" t="s">
        <v>517</v>
      </c>
      <c r="B316" t="s">
        <v>87</v>
      </c>
      <c r="C316" t="s">
        <v>487</v>
      </c>
      <c r="D316" t="s">
        <v>31</v>
      </c>
      <c r="H316">
        <v>1</v>
      </c>
      <c r="I316" t="s">
        <v>21</v>
      </c>
      <c r="J316" t="s">
        <v>22</v>
      </c>
      <c r="N316" t="str">
        <f ca="1">IFERROR(_xludf.XLOOKUP($F316&amp;"."&amp;$G316,CaseSource!$A$2:$A$371,CaseSource!$B$2:$B$371,""),"")</f>
        <v/>
      </c>
    </row>
    <row r="317" spans="1:14" hidden="1" x14ac:dyDescent="0.2">
      <c r="A317" t="s">
        <v>518</v>
      </c>
      <c r="B317" t="s">
        <v>87</v>
      </c>
      <c r="C317" t="s">
        <v>487</v>
      </c>
      <c r="D317" t="s">
        <v>31</v>
      </c>
      <c r="H317">
        <v>1</v>
      </c>
      <c r="I317" t="s">
        <v>21</v>
      </c>
      <c r="J317" t="s">
        <v>22</v>
      </c>
      <c r="N317" t="str">
        <f ca="1">IFERROR(_xludf.XLOOKUP($F317&amp;"."&amp;$G317,CaseSource!$A$2:$A$371,CaseSource!$B$2:$B$371,""),"")</f>
        <v/>
      </c>
    </row>
    <row r="318" spans="1:14" hidden="1" x14ac:dyDescent="0.2">
      <c r="A318" t="s">
        <v>519</v>
      </c>
      <c r="B318" t="s">
        <v>87</v>
      </c>
      <c r="C318" t="s">
        <v>487</v>
      </c>
      <c r="D318" t="s">
        <v>31</v>
      </c>
      <c r="H318">
        <v>1</v>
      </c>
      <c r="I318" t="s">
        <v>21</v>
      </c>
      <c r="J318" t="s">
        <v>22</v>
      </c>
      <c r="N318" t="str">
        <f ca="1">IFERROR(_xludf.XLOOKUP($F318&amp;"."&amp;$G318,CaseSource!$A$2:$A$371,CaseSource!$B$2:$B$371,""),"")</f>
        <v/>
      </c>
    </row>
    <row r="319" spans="1:14" hidden="1" x14ac:dyDescent="0.2">
      <c r="A319" t="s">
        <v>520</v>
      </c>
      <c r="B319" t="s">
        <v>87</v>
      </c>
      <c r="C319" t="s">
        <v>487</v>
      </c>
      <c r="D319" t="s">
        <v>31</v>
      </c>
      <c r="H319">
        <v>1</v>
      </c>
      <c r="I319" t="s">
        <v>21</v>
      </c>
      <c r="J319" t="s">
        <v>22</v>
      </c>
      <c r="N319" t="str">
        <f ca="1">IFERROR(_xludf.XLOOKUP($F319&amp;"."&amp;$G319,CaseSource!$A$2:$A$371,CaseSource!$B$2:$B$371,""),"")</f>
        <v/>
      </c>
    </row>
    <row r="320" spans="1:14" hidden="1" x14ac:dyDescent="0.2">
      <c r="A320" t="s">
        <v>522</v>
      </c>
      <c r="B320" t="s">
        <v>87</v>
      </c>
      <c r="C320" t="s">
        <v>314</v>
      </c>
      <c r="D320" t="s">
        <v>31</v>
      </c>
      <c r="H320">
        <v>1</v>
      </c>
      <c r="I320" t="s">
        <v>21</v>
      </c>
      <c r="J320" t="s">
        <v>22</v>
      </c>
      <c r="N320" t="str">
        <f ca="1">IFERROR(_xludf.XLOOKUP($F320&amp;"."&amp;$G320,CaseSource!$A$2:$A$371,CaseSource!$B$2:$B$371,""),"")</f>
        <v/>
      </c>
    </row>
    <row r="321" spans="1:14" hidden="1" x14ac:dyDescent="0.2">
      <c r="A321" t="s">
        <v>523</v>
      </c>
      <c r="B321" t="s">
        <v>87</v>
      </c>
      <c r="C321" t="s">
        <v>487</v>
      </c>
      <c r="D321" t="s">
        <v>31</v>
      </c>
      <c r="H321">
        <v>1</v>
      </c>
      <c r="I321" t="s">
        <v>21</v>
      </c>
      <c r="J321" t="s">
        <v>22</v>
      </c>
      <c r="N321" t="str">
        <f ca="1">IFERROR(_xludf.XLOOKUP($F321&amp;"."&amp;$G321,CaseSource!$A$2:$A$371,CaseSource!$B$2:$B$371,""),"")</f>
        <v/>
      </c>
    </row>
    <row r="322" spans="1:14" hidden="1" x14ac:dyDescent="0.2">
      <c r="A322" t="s">
        <v>524</v>
      </c>
      <c r="B322" t="s">
        <v>87</v>
      </c>
      <c r="C322" t="s">
        <v>107</v>
      </c>
      <c r="D322" t="s">
        <v>31</v>
      </c>
      <c r="H322">
        <v>1</v>
      </c>
      <c r="I322" t="s">
        <v>21</v>
      </c>
      <c r="J322" t="s">
        <v>22</v>
      </c>
      <c r="N322" t="str">
        <f ca="1">IFERROR(_xludf.XLOOKUP($F322&amp;"."&amp;$G322,CaseSource!$A$2:$A$371,CaseSource!$B$2:$B$371,""),"")</f>
        <v/>
      </c>
    </row>
    <row r="323" spans="1:14" hidden="1" x14ac:dyDescent="0.2">
      <c r="A323" t="s">
        <v>526</v>
      </c>
      <c r="B323" t="s">
        <v>87</v>
      </c>
      <c r="C323" t="s">
        <v>96</v>
      </c>
      <c r="D323" t="s">
        <v>31</v>
      </c>
      <c r="H323">
        <v>1</v>
      </c>
      <c r="I323" t="s">
        <v>21</v>
      </c>
      <c r="J323" t="s">
        <v>22</v>
      </c>
      <c r="N323" t="str">
        <f ca="1">IFERROR(_xludf.XLOOKUP($F323&amp;"."&amp;$G323,CaseSource!$A$2:$A$371,CaseSource!$B$2:$B$371,""),"")</f>
        <v/>
      </c>
    </row>
    <row r="324" spans="1:14" hidden="1" x14ac:dyDescent="0.2">
      <c r="A324" t="s">
        <v>527</v>
      </c>
      <c r="B324" t="s">
        <v>87</v>
      </c>
      <c r="C324" t="s">
        <v>96</v>
      </c>
      <c r="D324" t="s">
        <v>31</v>
      </c>
      <c r="H324">
        <v>1</v>
      </c>
      <c r="I324" t="s">
        <v>21</v>
      </c>
      <c r="J324" t="s">
        <v>22</v>
      </c>
      <c r="N324" t="str">
        <f ca="1">IFERROR(_xludf.XLOOKUP($F324&amp;"."&amp;$G324,CaseSource!$A$2:$A$371,CaseSource!$B$2:$B$371,""),"")</f>
        <v/>
      </c>
    </row>
    <row r="325" spans="1:14" hidden="1" x14ac:dyDescent="0.2">
      <c r="A325" t="s">
        <v>528</v>
      </c>
      <c r="B325" t="s">
        <v>87</v>
      </c>
      <c r="C325" t="s">
        <v>154</v>
      </c>
      <c r="D325" t="s">
        <v>31</v>
      </c>
      <c r="H325">
        <v>1</v>
      </c>
      <c r="I325" t="s">
        <v>21</v>
      </c>
      <c r="J325" t="s">
        <v>22</v>
      </c>
      <c r="N325" t="str">
        <f ca="1">IFERROR(_xludf.XLOOKUP($F325&amp;"."&amp;$G325,CaseSource!$A$2:$A$371,CaseSource!$B$2:$B$371,""),"")</f>
        <v/>
      </c>
    </row>
    <row r="326" spans="1:14" hidden="1" x14ac:dyDescent="0.2">
      <c r="A326" t="s">
        <v>529</v>
      </c>
      <c r="B326" t="s">
        <v>87</v>
      </c>
      <c r="C326" t="s">
        <v>146</v>
      </c>
      <c r="D326" t="s">
        <v>31</v>
      </c>
      <c r="H326">
        <v>1</v>
      </c>
      <c r="I326" t="s">
        <v>21</v>
      </c>
      <c r="J326" t="s">
        <v>22</v>
      </c>
      <c r="N326" t="str">
        <f ca="1">IFERROR(_xludf.XLOOKUP($F326&amp;"."&amp;$G326,CaseSource!$A$2:$A$371,CaseSource!$B$2:$B$371,""),"")</f>
        <v/>
      </c>
    </row>
    <row r="327" spans="1:14" hidden="1" x14ac:dyDescent="0.2">
      <c r="A327" t="s">
        <v>537</v>
      </c>
      <c r="B327" t="s">
        <v>87</v>
      </c>
      <c r="C327" t="s">
        <v>120</v>
      </c>
      <c r="D327" t="s">
        <v>31</v>
      </c>
      <c r="H327">
        <v>1</v>
      </c>
      <c r="I327" t="s">
        <v>21</v>
      </c>
      <c r="J327" t="s">
        <v>22</v>
      </c>
      <c r="N327" t="str">
        <f ca="1">IFERROR(_xludf.XLOOKUP($F327&amp;"."&amp;$G327,CaseSource!$A$2:$A$371,CaseSource!$B$2:$B$371,""),"")</f>
        <v/>
      </c>
    </row>
    <row r="328" spans="1:14" hidden="1" x14ac:dyDescent="0.2">
      <c r="A328" t="s">
        <v>540</v>
      </c>
      <c r="B328" t="s">
        <v>87</v>
      </c>
      <c r="C328" t="s">
        <v>541</v>
      </c>
      <c r="D328" t="s">
        <v>31</v>
      </c>
      <c r="H328">
        <v>1</v>
      </c>
      <c r="I328" t="s">
        <v>21</v>
      </c>
      <c r="J328" t="s">
        <v>22</v>
      </c>
      <c r="N328" t="str">
        <f ca="1">IFERROR(_xludf.XLOOKUP($F328&amp;"."&amp;$G328,CaseSource!$A$2:$A$371,CaseSource!$B$2:$B$371,""),"")</f>
        <v/>
      </c>
    </row>
    <row r="329" spans="1:14" hidden="1" x14ac:dyDescent="0.2">
      <c r="A329" t="s">
        <v>542</v>
      </c>
      <c r="B329" t="s">
        <v>87</v>
      </c>
      <c r="C329" t="s">
        <v>541</v>
      </c>
      <c r="D329" t="s">
        <v>31</v>
      </c>
      <c r="H329">
        <v>1</v>
      </c>
      <c r="I329" t="s">
        <v>21</v>
      </c>
      <c r="J329" t="s">
        <v>22</v>
      </c>
      <c r="N329" t="str">
        <f ca="1">IFERROR(_xludf.XLOOKUP($F329&amp;"."&amp;$G329,CaseSource!$A$2:$A$371,CaseSource!$B$2:$B$371,""),"")</f>
        <v/>
      </c>
    </row>
    <row r="330" spans="1:14" hidden="1" x14ac:dyDescent="0.2">
      <c r="A330" t="s">
        <v>551</v>
      </c>
      <c r="B330" t="s">
        <v>87</v>
      </c>
      <c r="C330" t="s">
        <v>120</v>
      </c>
      <c r="D330" t="s">
        <v>31</v>
      </c>
      <c r="H330">
        <v>1</v>
      </c>
      <c r="I330" t="s">
        <v>21</v>
      </c>
      <c r="J330" t="s">
        <v>22</v>
      </c>
      <c r="N330" t="str">
        <f ca="1">IFERROR(_xludf.XLOOKUP($F330&amp;"."&amp;$G330,CaseSource!$A$2:$A$371,CaseSource!$B$2:$B$371,""),"")</f>
        <v/>
      </c>
    </row>
    <row r="331" spans="1:14" hidden="1" x14ac:dyDescent="0.2">
      <c r="A331" t="s">
        <v>552</v>
      </c>
      <c r="B331" t="s">
        <v>87</v>
      </c>
      <c r="C331" t="s">
        <v>107</v>
      </c>
      <c r="D331" t="s">
        <v>31</v>
      </c>
      <c r="H331">
        <v>1</v>
      </c>
      <c r="I331" t="s">
        <v>21</v>
      </c>
      <c r="J331" t="s">
        <v>22</v>
      </c>
      <c r="N331" t="str">
        <f ca="1">IFERROR(_xludf.XLOOKUP($F331&amp;"."&amp;$G331,CaseSource!$A$2:$A$371,CaseSource!$B$2:$B$371,""),"")</f>
        <v/>
      </c>
    </row>
    <row r="332" spans="1:14" hidden="1" x14ac:dyDescent="0.2">
      <c r="A332" t="s">
        <v>558</v>
      </c>
      <c r="B332" t="s">
        <v>87</v>
      </c>
      <c r="C332" t="s">
        <v>541</v>
      </c>
      <c r="D332" t="s">
        <v>31</v>
      </c>
      <c r="H332">
        <v>1</v>
      </c>
      <c r="I332" t="s">
        <v>21</v>
      </c>
      <c r="J332" t="s">
        <v>22</v>
      </c>
      <c r="N332" t="str">
        <f ca="1">IFERROR(_xludf.XLOOKUP($F332&amp;"."&amp;$G332,CaseSource!$A$2:$A$371,CaseSource!$B$2:$B$371,""),"")</f>
        <v/>
      </c>
    </row>
    <row r="333" spans="1:14" hidden="1" x14ac:dyDescent="0.2">
      <c r="A333" t="s">
        <v>559</v>
      </c>
      <c r="B333" t="s">
        <v>87</v>
      </c>
      <c r="C333" t="s">
        <v>182</v>
      </c>
      <c r="D333" t="s">
        <v>31</v>
      </c>
      <c r="H333">
        <v>1</v>
      </c>
      <c r="I333" t="s">
        <v>21</v>
      </c>
      <c r="J333" t="s">
        <v>22</v>
      </c>
      <c r="N333" t="str">
        <f ca="1">IFERROR(_xludf.XLOOKUP($F333&amp;"."&amp;$G333,CaseSource!$A$2:$A$371,CaseSource!$B$2:$B$371,""),"")</f>
        <v/>
      </c>
    </row>
    <row r="334" spans="1:14" hidden="1" x14ac:dyDescent="0.2">
      <c r="A334" t="s">
        <v>561</v>
      </c>
      <c r="B334" t="s">
        <v>87</v>
      </c>
      <c r="C334" t="s">
        <v>154</v>
      </c>
      <c r="D334" t="s">
        <v>31</v>
      </c>
      <c r="H334">
        <v>1</v>
      </c>
      <c r="I334" t="s">
        <v>21</v>
      </c>
      <c r="J334" t="s">
        <v>22</v>
      </c>
      <c r="N334" t="str">
        <f ca="1">IFERROR(_xludf.XLOOKUP($F334&amp;"."&amp;$G334,CaseSource!$A$2:$A$371,CaseSource!$B$2:$B$371,""),"")</f>
        <v/>
      </c>
    </row>
    <row r="335" spans="1:14" hidden="1" x14ac:dyDescent="0.2">
      <c r="A335" t="s">
        <v>562</v>
      </c>
      <c r="B335" t="s">
        <v>87</v>
      </c>
      <c r="C335" t="s">
        <v>107</v>
      </c>
      <c r="D335" t="s">
        <v>31</v>
      </c>
      <c r="H335">
        <v>1</v>
      </c>
      <c r="I335" t="s">
        <v>21</v>
      </c>
      <c r="J335" t="s">
        <v>22</v>
      </c>
      <c r="N335" t="str">
        <f ca="1">IFERROR(_xludf.XLOOKUP($F335&amp;"."&amp;$G335,CaseSource!$A$2:$A$371,CaseSource!$B$2:$B$371,""),"")</f>
        <v/>
      </c>
    </row>
    <row r="336" spans="1:14" hidden="1" x14ac:dyDescent="0.2">
      <c r="A336" t="s">
        <v>570</v>
      </c>
      <c r="B336" t="s">
        <v>87</v>
      </c>
      <c r="C336" t="s">
        <v>310</v>
      </c>
      <c r="D336" t="s">
        <v>31</v>
      </c>
      <c r="H336">
        <v>1</v>
      </c>
      <c r="I336" t="s">
        <v>21</v>
      </c>
      <c r="J336" t="s">
        <v>22</v>
      </c>
      <c r="N336" t="str">
        <f ca="1">IFERROR(_xludf.XLOOKUP($F336&amp;"."&amp;$G336,CaseSource!$A$2:$A$371,CaseSource!$B$2:$B$371,""),"")</f>
        <v/>
      </c>
    </row>
    <row r="337" spans="1:14" hidden="1" x14ac:dyDescent="0.2">
      <c r="A337" t="s">
        <v>572</v>
      </c>
      <c r="B337" t="s">
        <v>87</v>
      </c>
      <c r="C337" t="s">
        <v>96</v>
      </c>
      <c r="D337" t="s">
        <v>31</v>
      </c>
      <c r="H337">
        <v>1</v>
      </c>
      <c r="I337" t="s">
        <v>21</v>
      </c>
      <c r="J337" t="s">
        <v>22</v>
      </c>
      <c r="N337" t="str">
        <f ca="1">IFERROR(_xludf.XLOOKUP($F337&amp;"."&amp;$G337,CaseSource!$A$2:$A$371,CaseSource!$B$2:$B$371,""),"")</f>
        <v/>
      </c>
    </row>
    <row r="338" spans="1:14" hidden="1" x14ac:dyDescent="0.2">
      <c r="A338" t="s">
        <v>573</v>
      </c>
      <c r="B338" t="s">
        <v>87</v>
      </c>
      <c r="C338" t="s">
        <v>96</v>
      </c>
      <c r="D338" t="s">
        <v>31</v>
      </c>
      <c r="H338">
        <v>1</v>
      </c>
      <c r="I338" t="s">
        <v>21</v>
      </c>
      <c r="J338" t="s">
        <v>22</v>
      </c>
      <c r="N338" t="str">
        <f ca="1">IFERROR(_xludf.XLOOKUP($F338&amp;"."&amp;$G338,CaseSource!$A$2:$A$371,CaseSource!$B$2:$B$371,""),"")</f>
        <v/>
      </c>
    </row>
    <row r="339" spans="1:14" hidden="1" x14ac:dyDescent="0.2">
      <c r="A339" t="s">
        <v>593</v>
      </c>
      <c r="B339" t="s">
        <v>87</v>
      </c>
      <c r="C339" t="s">
        <v>182</v>
      </c>
      <c r="D339" t="s">
        <v>31</v>
      </c>
      <c r="H339">
        <v>1</v>
      </c>
      <c r="I339" t="s">
        <v>21</v>
      </c>
      <c r="J339" t="s">
        <v>22</v>
      </c>
      <c r="N339" t="str">
        <f ca="1">IFERROR(_xludf.XLOOKUP($F339&amp;"."&amp;$G339,CaseSource!$A$2:$A$371,CaseSource!$B$2:$B$371,""),"")</f>
        <v/>
      </c>
    </row>
    <row r="340" spans="1:14" hidden="1" x14ac:dyDescent="0.2">
      <c r="A340" t="s">
        <v>596</v>
      </c>
      <c r="B340" t="s">
        <v>87</v>
      </c>
      <c r="C340" t="s">
        <v>221</v>
      </c>
      <c r="D340" t="s">
        <v>31</v>
      </c>
      <c r="H340">
        <v>1</v>
      </c>
      <c r="I340" t="s">
        <v>21</v>
      </c>
      <c r="J340" t="s">
        <v>22</v>
      </c>
      <c r="N340" t="str">
        <f ca="1">IFERROR(_xludf.XLOOKUP($F340&amp;"."&amp;$G340,CaseSource!$A$2:$A$371,CaseSource!$B$2:$B$371,""),"")</f>
        <v/>
      </c>
    </row>
    <row r="341" spans="1:14" hidden="1" x14ac:dyDescent="0.2">
      <c r="A341" t="s">
        <v>597</v>
      </c>
      <c r="B341" t="s">
        <v>87</v>
      </c>
      <c r="C341" t="s">
        <v>221</v>
      </c>
      <c r="D341" t="s">
        <v>31</v>
      </c>
      <c r="H341">
        <v>1</v>
      </c>
      <c r="I341" t="s">
        <v>21</v>
      </c>
      <c r="J341" t="s">
        <v>22</v>
      </c>
      <c r="N341" t="str">
        <f ca="1">IFERROR(_xludf.XLOOKUP($F341&amp;"."&amp;$G341,CaseSource!$A$2:$A$371,CaseSource!$B$2:$B$371,""),"")</f>
        <v/>
      </c>
    </row>
    <row r="342" spans="1:14" hidden="1" x14ac:dyDescent="0.2">
      <c r="A342" t="s">
        <v>598</v>
      </c>
      <c r="B342" t="s">
        <v>87</v>
      </c>
      <c r="C342" t="s">
        <v>599</v>
      </c>
      <c r="D342" t="s">
        <v>31</v>
      </c>
      <c r="H342">
        <v>1</v>
      </c>
      <c r="I342" t="s">
        <v>21</v>
      </c>
      <c r="J342" t="s">
        <v>22</v>
      </c>
      <c r="N342" t="str">
        <f ca="1">IFERROR(_xludf.XLOOKUP($F342&amp;"."&amp;$G342,CaseSource!$A$2:$A$371,CaseSource!$B$2:$B$371,""),"")</f>
        <v/>
      </c>
    </row>
    <row r="343" spans="1:14" hidden="1" x14ac:dyDescent="0.2">
      <c r="A343" t="s">
        <v>600</v>
      </c>
      <c r="B343" t="s">
        <v>87</v>
      </c>
      <c r="C343" t="s">
        <v>120</v>
      </c>
      <c r="D343" t="s">
        <v>31</v>
      </c>
      <c r="H343">
        <v>1</v>
      </c>
      <c r="I343" t="s">
        <v>21</v>
      </c>
      <c r="J343" t="s">
        <v>22</v>
      </c>
      <c r="N343" t="str">
        <f ca="1">IFERROR(_xludf.XLOOKUP($F343&amp;"."&amp;$G343,CaseSource!$A$2:$A$371,CaseSource!$B$2:$B$371,""),"")</f>
        <v/>
      </c>
    </row>
    <row r="344" spans="1:14" hidden="1" x14ac:dyDescent="0.2">
      <c r="A344" t="s">
        <v>601</v>
      </c>
      <c r="B344" t="s">
        <v>87</v>
      </c>
      <c r="C344" t="s">
        <v>599</v>
      </c>
      <c r="D344" t="s">
        <v>31</v>
      </c>
      <c r="H344">
        <v>1</v>
      </c>
      <c r="I344" t="s">
        <v>21</v>
      </c>
      <c r="J344" t="s">
        <v>22</v>
      </c>
      <c r="N344" t="str">
        <f ca="1">IFERROR(_xludf.XLOOKUP($F344&amp;"."&amp;$G344,CaseSource!$A$2:$A$371,CaseSource!$B$2:$B$371,""),"")</f>
        <v/>
      </c>
    </row>
    <row r="345" spans="1:14" hidden="1" x14ac:dyDescent="0.2">
      <c r="A345" t="s">
        <v>603</v>
      </c>
      <c r="B345" t="s">
        <v>87</v>
      </c>
      <c r="C345" t="s">
        <v>448</v>
      </c>
      <c r="D345" t="s">
        <v>31</v>
      </c>
      <c r="H345">
        <v>1</v>
      </c>
      <c r="I345" t="s">
        <v>21</v>
      </c>
      <c r="J345" t="s">
        <v>22</v>
      </c>
      <c r="N345" t="str">
        <f ca="1">IFERROR(_xludf.XLOOKUP($F345&amp;"."&amp;$G345,CaseSource!$A$2:$A$371,CaseSource!$B$2:$B$371,""),"")</f>
        <v/>
      </c>
    </row>
    <row r="346" spans="1:14" hidden="1" x14ac:dyDescent="0.2">
      <c r="A346" t="s">
        <v>604</v>
      </c>
      <c r="B346" t="s">
        <v>87</v>
      </c>
      <c r="C346" t="s">
        <v>96</v>
      </c>
      <c r="D346" t="s">
        <v>31</v>
      </c>
      <c r="H346">
        <v>1</v>
      </c>
      <c r="I346" t="s">
        <v>21</v>
      </c>
      <c r="J346" t="s">
        <v>22</v>
      </c>
      <c r="N346" t="str">
        <f ca="1">IFERROR(_xludf.XLOOKUP($F346&amp;"."&amp;$G346,CaseSource!$A$2:$A$371,CaseSource!$B$2:$B$371,""),"")</f>
        <v/>
      </c>
    </row>
    <row r="347" spans="1:14" hidden="1" x14ac:dyDescent="0.2">
      <c r="A347" t="s">
        <v>605</v>
      </c>
      <c r="B347" t="s">
        <v>87</v>
      </c>
      <c r="C347" t="s">
        <v>599</v>
      </c>
      <c r="D347" t="s">
        <v>31</v>
      </c>
      <c r="H347">
        <v>1</v>
      </c>
      <c r="I347" t="s">
        <v>21</v>
      </c>
      <c r="J347" t="s">
        <v>22</v>
      </c>
      <c r="N347" t="str">
        <f ca="1">IFERROR(_xludf.XLOOKUP($F347&amp;"."&amp;$G347,CaseSource!$A$2:$A$371,CaseSource!$B$2:$B$371,""),"")</f>
        <v/>
      </c>
    </row>
    <row r="348" spans="1:14" hidden="1" x14ac:dyDescent="0.2">
      <c r="A348" t="s">
        <v>606</v>
      </c>
      <c r="B348" t="s">
        <v>87</v>
      </c>
      <c r="C348" t="s">
        <v>599</v>
      </c>
      <c r="D348" t="s">
        <v>31</v>
      </c>
      <c r="H348">
        <v>1</v>
      </c>
      <c r="I348" t="s">
        <v>21</v>
      </c>
      <c r="J348" t="s">
        <v>22</v>
      </c>
      <c r="N348" t="str">
        <f ca="1">IFERROR(_xludf.XLOOKUP($F348&amp;"."&amp;$G348,CaseSource!$A$2:$A$371,CaseSource!$B$2:$B$371,""),"")</f>
        <v/>
      </c>
    </row>
    <row r="349" spans="1:14" hidden="1" x14ac:dyDescent="0.2">
      <c r="A349" t="s">
        <v>607</v>
      </c>
      <c r="B349" t="s">
        <v>87</v>
      </c>
      <c r="C349" t="s">
        <v>599</v>
      </c>
      <c r="D349" t="s">
        <v>31</v>
      </c>
      <c r="H349">
        <v>1</v>
      </c>
      <c r="I349" t="s">
        <v>21</v>
      </c>
      <c r="J349" t="s">
        <v>22</v>
      </c>
      <c r="N349" t="str">
        <f ca="1">IFERROR(_xludf.XLOOKUP($F349&amp;"."&amp;$G349,CaseSource!$A$2:$A$371,CaseSource!$B$2:$B$371,""),"")</f>
        <v/>
      </c>
    </row>
    <row r="350" spans="1:14" hidden="1" x14ac:dyDescent="0.2">
      <c r="A350" t="s">
        <v>608</v>
      </c>
      <c r="B350" t="s">
        <v>87</v>
      </c>
      <c r="C350" t="s">
        <v>599</v>
      </c>
      <c r="D350" t="s">
        <v>31</v>
      </c>
      <c r="H350">
        <v>1</v>
      </c>
      <c r="I350" t="s">
        <v>21</v>
      </c>
      <c r="J350" t="s">
        <v>22</v>
      </c>
      <c r="N350" t="str">
        <f ca="1">IFERROR(_xludf.XLOOKUP($F350&amp;"."&amp;$G350,CaseSource!$A$2:$A$371,CaseSource!$B$2:$B$371,""),"")</f>
        <v/>
      </c>
    </row>
    <row r="351" spans="1:14" hidden="1" x14ac:dyDescent="0.2">
      <c r="A351" t="s">
        <v>610</v>
      </c>
      <c r="B351" t="s">
        <v>87</v>
      </c>
      <c r="C351" t="s">
        <v>190</v>
      </c>
      <c r="D351" t="s">
        <v>31</v>
      </c>
      <c r="H351">
        <v>1</v>
      </c>
      <c r="I351" t="s">
        <v>21</v>
      </c>
      <c r="J351" t="s">
        <v>22</v>
      </c>
      <c r="N351" t="str">
        <f ca="1">IFERROR(_xludf.XLOOKUP($F351&amp;"."&amp;$G351,CaseSource!$A$2:$A$371,CaseSource!$B$2:$B$371,""),"")</f>
        <v/>
      </c>
    </row>
    <row r="352" spans="1:14" hidden="1" x14ac:dyDescent="0.2">
      <c r="A352" t="s">
        <v>611</v>
      </c>
      <c r="B352" t="s">
        <v>87</v>
      </c>
      <c r="C352" t="s">
        <v>190</v>
      </c>
      <c r="D352" t="s">
        <v>31</v>
      </c>
      <c r="H352">
        <v>1</v>
      </c>
      <c r="I352" t="s">
        <v>21</v>
      </c>
      <c r="J352" t="s">
        <v>22</v>
      </c>
      <c r="N352" t="str">
        <f ca="1">IFERROR(_xludf.XLOOKUP($F352&amp;"."&amp;$G352,CaseSource!$A$2:$A$371,CaseSource!$B$2:$B$371,""),"")</f>
        <v/>
      </c>
    </row>
    <row r="353" spans="1:14" hidden="1" x14ac:dyDescent="0.2">
      <c r="A353" t="s">
        <v>612</v>
      </c>
      <c r="B353" t="s">
        <v>87</v>
      </c>
      <c r="C353" t="s">
        <v>190</v>
      </c>
      <c r="D353" t="s">
        <v>31</v>
      </c>
      <c r="H353">
        <v>1</v>
      </c>
      <c r="I353" t="s">
        <v>21</v>
      </c>
      <c r="J353" t="s">
        <v>22</v>
      </c>
      <c r="N353" t="str">
        <f ca="1">IFERROR(_xludf.XLOOKUP($F353&amp;"."&amp;$G353,CaseSource!$A$2:$A$371,CaseSource!$B$2:$B$371,""),"")</f>
        <v/>
      </c>
    </row>
    <row r="354" spans="1:14" hidden="1" x14ac:dyDescent="0.2">
      <c r="A354" t="s">
        <v>613</v>
      </c>
      <c r="B354" t="s">
        <v>87</v>
      </c>
      <c r="C354" t="s">
        <v>342</v>
      </c>
      <c r="D354" t="s">
        <v>31</v>
      </c>
      <c r="H354">
        <v>1</v>
      </c>
      <c r="I354" t="s">
        <v>21</v>
      </c>
      <c r="J354" t="s">
        <v>22</v>
      </c>
      <c r="N354" t="str">
        <f ca="1">IFERROR(_xludf.XLOOKUP($F354&amp;"."&amp;$G354,CaseSource!$A$2:$A$371,CaseSource!$B$2:$B$371,""),"")</f>
        <v/>
      </c>
    </row>
    <row r="355" spans="1:14" hidden="1" x14ac:dyDescent="0.2">
      <c r="A355" t="s">
        <v>620</v>
      </c>
      <c r="B355" t="s">
        <v>87</v>
      </c>
      <c r="C355" t="s">
        <v>107</v>
      </c>
      <c r="D355" t="s">
        <v>31</v>
      </c>
      <c r="H355">
        <v>1</v>
      </c>
      <c r="I355" t="s">
        <v>21</v>
      </c>
      <c r="J355" t="s">
        <v>22</v>
      </c>
      <c r="N355" t="str">
        <f ca="1">IFERROR(_xludf.XLOOKUP($F355&amp;"."&amp;$G355,CaseSource!$A$2:$A$371,CaseSource!$B$2:$B$371,""),"")</f>
        <v/>
      </c>
    </row>
    <row r="356" spans="1:14" hidden="1" x14ac:dyDescent="0.2">
      <c r="A356" t="s">
        <v>622</v>
      </c>
      <c r="B356" t="s">
        <v>87</v>
      </c>
      <c r="C356" t="s">
        <v>107</v>
      </c>
      <c r="D356" t="s">
        <v>31</v>
      </c>
      <c r="H356">
        <v>1</v>
      </c>
      <c r="I356" t="s">
        <v>21</v>
      </c>
      <c r="J356" t="s">
        <v>22</v>
      </c>
      <c r="N356" t="str">
        <f ca="1">IFERROR(_xludf.XLOOKUP($F356&amp;"."&amp;$G356,CaseSource!$A$2:$A$371,CaseSource!$B$2:$B$371,""),"")</f>
        <v/>
      </c>
    </row>
    <row r="357" spans="1:14" hidden="1" x14ac:dyDescent="0.2">
      <c r="A357" t="s">
        <v>623</v>
      </c>
      <c r="B357" t="s">
        <v>87</v>
      </c>
      <c r="C357" t="s">
        <v>599</v>
      </c>
      <c r="D357" t="s">
        <v>31</v>
      </c>
      <c r="H357">
        <v>1</v>
      </c>
      <c r="I357" t="s">
        <v>21</v>
      </c>
      <c r="J357" t="s">
        <v>22</v>
      </c>
      <c r="N357" t="str">
        <f ca="1">IFERROR(_xludf.XLOOKUP($F357&amp;"."&amp;$G357,CaseSource!$A$2:$A$371,CaseSource!$B$2:$B$371,""),"")</f>
        <v/>
      </c>
    </row>
    <row r="358" spans="1:14" x14ac:dyDescent="0.2">
      <c r="A358" t="s">
        <v>14</v>
      </c>
      <c r="B358" t="s">
        <v>15</v>
      </c>
      <c r="C358" t="s">
        <v>16</v>
      </c>
      <c r="D358" t="s">
        <v>17</v>
      </c>
      <c r="E358" t="s">
        <v>18</v>
      </c>
      <c r="F358" t="s">
        <v>19</v>
      </c>
      <c r="G358" t="s">
        <v>20</v>
      </c>
      <c r="H358">
        <v>1</v>
      </c>
      <c r="I358" t="s">
        <v>21</v>
      </c>
      <c r="J358" t="s">
        <v>22</v>
      </c>
      <c r="K358" t="s">
        <v>23</v>
      </c>
      <c r="N358" t="str">
        <f ca="1">IFERROR(_xludf.XLOOKUP($F358&amp;"."&amp;$G358,CaseSource!$A$2:$A$371,CaseSource!$B$2:$B$371,""),"")</f>
        <v/>
      </c>
    </row>
    <row r="359" spans="1:14" x14ac:dyDescent="0.2">
      <c r="A359" t="s">
        <v>14</v>
      </c>
      <c r="B359" t="s">
        <v>15</v>
      </c>
      <c r="C359" t="s">
        <v>16</v>
      </c>
      <c r="D359" t="s">
        <v>17</v>
      </c>
      <c r="E359" t="s">
        <v>18</v>
      </c>
      <c r="F359" t="s">
        <v>24</v>
      </c>
      <c r="G359" t="s">
        <v>25</v>
      </c>
      <c r="H359">
        <v>2</v>
      </c>
      <c r="I359" t="s">
        <v>21</v>
      </c>
      <c r="J359" t="s">
        <v>22</v>
      </c>
      <c r="K359" t="s">
        <v>23</v>
      </c>
      <c r="N359" t="str">
        <f ca="1">IFERROR(_xludf.XLOOKUP($F359&amp;"."&amp;$G359,CaseSource!$A$2:$A$371,CaseSource!$B$2:$B$371,""),"")</f>
        <v/>
      </c>
    </row>
    <row r="360" spans="1:14" x14ac:dyDescent="0.2">
      <c r="A360" t="s">
        <v>14</v>
      </c>
      <c r="B360" t="s">
        <v>15</v>
      </c>
      <c r="C360" t="s">
        <v>16</v>
      </c>
      <c r="D360" t="s">
        <v>17</v>
      </c>
      <c r="E360" t="s">
        <v>18</v>
      </c>
      <c r="F360" t="s">
        <v>24</v>
      </c>
      <c r="G360" t="s">
        <v>26</v>
      </c>
      <c r="H360">
        <v>3</v>
      </c>
      <c r="I360" t="s">
        <v>21</v>
      </c>
      <c r="J360" t="s">
        <v>22</v>
      </c>
      <c r="K360" t="s">
        <v>23</v>
      </c>
      <c r="N360" t="str">
        <f ca="1">IFERROR(_xludf.XLOOKUP($F360&amp;"."&amp;$G360,CaseSource!$A$2:$A$371,CaseSource!$B$2:$B$371,""),"")</f>
        <v/>
      </c>
    </row>
    <row r="361" spans="1:14" x14ac:dyDescent="0.2">
      <c r="A361" t="s">
        <v>14</v>
      </c>
      <c r="B361" t="s">
        <v>15</v>
      </c>
      <c r="C361" t="s">
        <v>16</v>
      </c>
      <c r="D361" t="s">
        <v>17</v>
      </c>
      <c r="E361" t="s">
        <v>18</v>
      </c>
      <c r="F361" t="s">
        <v>24</v>
      </c>
      <c r="G361" t="s">
        <v>27</v>
      </c>
      <c r="H361">
        <v>4</v>
      </c>
      <c r="I361" t="s">
        <v>21</v>
      </c>
      <c r="J361" t="s">
        <v>22</v>
      </c>
      <c r="K361" t="s">
        <v>23</v>
      </c>
      <c r="N361" t="str">
        <f ca="1">IFERROR(_xludf.XLOOKUP($F361&amp;"."&amp;$G361,CaseSource!$A$2:$A$371,CaseSource!$B$2:$B$371,""),"")</f>
        <v/>
      </c>
    </row>
    <row r="362" spans="1:14" x14ac:dyDescent="0.2">
      <c r="A362" t="s">
        <v>14</v>
      </c>
      <c r="B362" t="s">
        <v>15</v>
      </c>
      <c r="C362" t="s">
        <v>16</v>
      </c>
      <c r="D362" t="s">
        <v>17</v>
      </c>
      <c r="E362" t="s">
        <v>18</v>
      </c>
      <c r="F362" t="s">
        <v>24</v>
      </c>
      <c r="G362" t="s">
        <v>28</v>
      </c>
      <c r="H362">
        <v>5</v>
      </c>
      <c r="I362" t="s">
        <v>21</v>
      </c>
      <c r="J362" t="s">
        <v>22</v>
      </c>
      <c r="K362" t="s">
        <v>23</v>
      </c>
      <c r="N362" t="str">
        <f ca="1">IFERROR(_xludf.XLOOKUP($F362&amp;"."&amp;$G362,CaseSource!$A$2:$A$371,CaseSource!$B$2:$B$371,""),"")</f>
        <v/>
      </c>
    </row>
    <row r="363" spans="1:14" x14ac:dyDescent="0.2">
      <c r="A363" t="s">
        <v>14</v>
      </c>
      <c r="B363" t="s">
        <v>15</v>
      </c>
      <c r="C363" t="s">
        <v>16</v>
      </c>
      <c r="D363" t="s">
        <v>17</v>
      </c>
      <c r="E363" t="s">
        <v>18</v>
      </c>
      <c r="F363" t="s">
        <v>19</v>
      </c>
      <c r="G363" t="s">
        <v>25</v>
      </c>
      <c r="H363">
        <v>6</v>
      </c>
      <c r="I363" t="s">
        <v>21</v>
      </c>
      <c r="J363" t="s">
        <v>22</v>
      </c>
      <c r="K363" t="s">
        <v>23</v>
      </c>
      <c r="N363" t="str">
        <f ca="1">IFERROR(_xludf.XLOOKUP($F363&amp;"."&amp;$G363,CaseSource!$A$2:$A$371,CaseSource!$B$2:$B$371,""),"")</f>
        <v/>
      </c>
    </row>
    <row r="364" spans="1:14" x14ac:dyDescent="0.2">
      <c r="A364" t="s">
        <v>14</v>
      </c>
      <c r="B364" t="s">
        <v>15</v>
      </c>
      <c r="C364" t="s">
        <v>16</v>
      </c>
      <c r="D364" t="s">
        <v>17</v>
      </c>
      <c r="E364" t="s">
        <v>18</v>
      </c>
      <c r="F364" t="s">
        <v>19</v>
      </c>
      <c r="G364" t="s">
        <v>26</v>
      </c>
      <c r="H364">
        <v>7</v>
      </c>
      <c r="I364" t="s">
        <v>21</v>
      </c>
      <c r="J364" t="s">
        <v>22</v>
      </c>
      <c r="K364" t="s">
        <v>23</v>
      </c>
      <c r="N364" t="str">
        <f ca="1">IFERROR(_xludf.XLOOKUP($F364&amp;"."&amp;$G364,CaseSource!$A$2:$A$371,CaseSource!$B$2:$B$371,""),"")</f>
        <v/>
      </c>
    </row>
    <row r="365" spans="1:14" x14ac:dyDescent="0.2">
      <c r="A365" t="s">
        <v>14</v>
      </c>
      <c r="B365" t="s">
        <v>15</v>
      </c>
      <c r="C365" t="s">
        <v>16</v>
      </c>
      <c r="D365" t="s">
        <v>17</v>
      </c>
      <c r="E365" t="s">
        <v>18</v>
      </c>
      <c r="F365" t="s">
        <v>19</v>
      </c>
      <c r="G365" t="s">
        <v>29</v>
      </c>
      <c r="H365">
        <v>8</v>
      </c>
      <c r="I365" t="s">
        <v>21</v>
      </c>
      <c r="J365" t="s">
        <v>22</v>
      </c>
      <c r="K365" t="s">
        <v>23</v>
      </c>
      <c r="N365" t="str">
        <f ca="1">IFERROR(_xludf.XLOOKUP($F365&amp;"."&amp;$G365,CaseSource!$A$2:$A$371,CaseSource!$B$2:$B$371,""),"")</f>
        <v/>
      </c>
    </row>
    <row r="366" spans="1:14" x14ac:dyDescent="0.2">
      <c r="A366" t="s">
        <v>30</v>
      </c>
      <c r="B366" t="s">
        <v>15</v>
      </c>
      <c r="C366" t="s">
        <v>16</v>
      </c>
      <c r="D366" t="s">
        <v>31</v>
      </c>
      <c r="E366" t="s">
        <v>32</v>
      </c>
      <c r="F366" t="s">
        <v>19</v>
      </c>
      <c r="G366" t="s">
        <v>33</v>
      </c>
      <c r="H366">
        <v>1</v>
      </c>
      <c r="I366" t="s">
        <v>21</v>
      </c>
      <c r="J366" t="s">
        <v>22</v>
      </c>
      <c r="K366" t="s">
        <v>34</v>
      </c>
      <c r="N366" t="str">
        <f ca="1">IFERROR(_xludf.XLOOKUP($F366&amp;"."&amp;$G366,CaseSource!$A$2:$A$371,CaseSource!$B$2:$B$371,""),"")</f>
        <v/>
      </c>
    </row>
    <row r="367" spans="1:14" x14ac:dyDescent="0.2">
      <c r="A367" t="s">
        <v>30</v>
      </c>
      <c r="B367" t="s">
        <v>15</v>
      </c>
      <c r="C367" t="s">
        <v>16</v>
      </c>
      <c r="D367" t="s">
        <v>31</v>
      </c>
      <c r="E367" t="s">
        <v>32</v>
      </c>
      <c r="F367" t="s">
        <v>19</v>
      </c>
      <c r="G367" t="s">
        <v>35</v>
      </c>
      <c r="H367">
        <v>2</v>
      </c>
      <c r="I367" t="s">
        <v>21</v>
      </c>
      <c r="J367" t="s">
        <v>22</v>
      </c>
      <c r="K367" t="s">
        <v>34</v>
      </c>
      <c r="N367" t="str">
        <f ca="1">IFERROR(_xludf.XLOOKUP($F367&amp;"."&amp;$G367,CaseSource!$A$2:$A$371,CaseSource!$B$2:$B$371,""),"")</f>
        <v/>
      </c>
    </row>
    <row r="368" spans="1:14" x14ac:dyDescent="0.2">
      <c r="A368" t="s">
        <v>30</v>
      </c>
      <c r="B368" t="s">
        <v>15</v>
      </c>
      <c r="C368" t="s">
        <v>16</v>
      </c>
      <c r="D368" t="s">
        <v>31</v>
      </c>
      <c r="E368" t="s">
        <v>32</v>
      </c>
      <c r="F368" t="s">
        <v>24</v>
      </c>
      <c r="G368" t="s">
        <v>36</v>
      </c>
      <c r="H368">
        <v>3</v>
      </c>
      <c r="I368" t="s">
        <v>21</v>
      </c>
      <c r="J368" t="s">
        <v>22</v>
      </c>
      <c r="K368" t="s">
        <v>34</v>
      </c>
      <c r="N368" t="str">
        <f ca="1">IFERROR(_xludf.XLOOKUP($F368&amp;"."&amp;$G368,CaseSource!$A$2:$A$371,CaseSource!$B$2:$B$371,""),"")</f>
        <v/>
      </c>
    </row>
    <row r="369" spans="1:14" x14ac:dyDescent="0.2">
      <c r="A369" t="s">
        <v>30</v>
      </c>
      <c r="B369" t="s">
        <v>15</v>
      </c>
      <c r="C369" t="s">
        <v>16</v>
      </c>
      <c r="D369" t="s">
        <v>31</v>
      </c>
      <c r="E369" t="s">
        <v>32</v>
      </c>
      <c r="F369" t="s">
        <v>19</v>
      </c>
      <c r="G369" t="s">
        <v>37</v>
      </c>
      <c r="H369">
        <v>4</v>
      </c>
      <c r="I369" t="s">
        <v>21</v>
      </c>
      <c r="J369" t="s">
        <v>22</v>
      </c>
      <c r="K369" t="s">
        <v>34</v>
      </c>
      <c r="N369" t="str">
        <f ca="1">IFERROR(_xludf.XLOOKUP($F369&amp;"."&amp;$G369,CaseSource!$A$2:$A$371,CaseSource!$B$2:$B$371,""),"")</f>
        <v/>
      </c>
    </row>
    <row r="370" spans="1:14" x14ac:dyDescent="0.2">
      <c r="A370" t="s">
        <v>30</v>
      </c>
      <c r="B370" t="s">
        <v>15</v>
      </c>
      <c r="C370" t="s">
        <v>16</v>
      </c>
      <c r="D370" t="s">
        <v>31</v>
      </c>
      <c r="E370" t="s">
        <v>32</v>
      </c>
      <c r="F370" t="s">
        <v>24</v>
      </c>
      <c r="G370" t="s">
        <v>38</v>
      </c>
      <c r="H370">
        <v>5</v>
      </c>
      <c r="I370" t="s">
        <v>21</v>
      </c>
      <c r="J370" t="s">
        <v>22</v>
      </c>
      <c r="K370" t="s">
        <v>34</v>
      </c>
      <c r="N370" t="str">
        <f ca="1">IFERROR(_xludf.XLOOKUP($F370&amp;"."&amp;$G370,CaseSource!$A$2:$A$371,CaseSource!$B$2:$B$371,""),"")</f>
        <v/>
      </c>
    </row>
    <row r="371" spans="1:14" x14ac:dyDescent="0.2">
      <c r="A371" t="s">
        <v>48</v>
      </c>
      <c r="B371" t="s">
        <v>15</v>
      </c>
      <c r="C371" t="s">
        <v>49</v>
      </c>
      <c r="D371" t="s">
        <v>31</v>
      </c>
      <c r="F371" t="s">
        <v>19</v>
      </c>
      <c r="G371" t="s">
        <v>50</v>
      </c>
      <c r="H371">
        <v>1</v>
      </c>
      <c r="I371" t="s">
        <v>21</v>
      </c>
      <c r="J371" t="s">
        <v>22</v>
      </c>
      <c r="K371" t="s">
        <v>51</v>
      </c>
      <c r="N371" t="str">
        <f ca="1">IFERROR(_xludf.XLOOKUP($F371&amp;"."&amp;$G371,CaseSource!$A$2:$A$371,CaseSource!$B$2:$B$371,""),"")</f>
        <v/>
      </c>
    </row>
    <row r="372" spans="1:14" x14ac:dyDescent="0.2">
      <c r="A372" t="s">
        <v>48</v>
      </c>
      <c r="B372" t="s">
        <v>15</v>
      </c>
      <c r="C372" t="s">
        <v>49</v>
      </c>
      <c r="D372" t="s">
        <v>31</v>
      </c>
      <c r="F372" t="s">
        <v>24</v>
      </c>
      <c r="G372" t="s">
        <v>52</v>
      </c>
      <c r="H372">
        <v>2</v>
      </c>
      <c r="I372" t="s">
        <v>21</v>
      </c>
      <c r="J372" t="s">
        <v>22</v>
      </c>
      <c r="K372" t="s">
        <v>51</v>
      </c>
      <c r="N372" t="str">
        <f ca="1">IFERROR(_xludf.XLOOKUP($F372&amp;"."&amp;$G372,CaseSource!$A$2:$A$371,CaseSource!$B$2:$B$371,""),"")</f>
        <v/>
      </c>
    </row>
    <row r="373" spans="1:14" x14ac:dyDescent="0.2">
      <c r="A373" t="s">
        <v>53</v>
      </c>
      <c r="B373" t="s">
        <v>15</v>
      </c>
      <c r="C373" t="s">
        <v>54</v>
      </c>
      <c r="D373" t="s">
        <v>31</v>
      </c>
      <c r="E373" t="s">
        <v>55</v>
      </c>
      <c r="F373" t="s">
        <v>24</v>
      </c>
      <c r="G373" t="s">
        <v>56</v>
      </c>
      <c r="H373">
        <v>1</v>
      </c>
      <c r="I373" t="s">
        <v>21</v>
      </c>
      <c r="J373" t="s">
        <v>22</v>
      </c>
      <c r="K373" t="s">
        <v>57</v>
      </c>
      <c r="N373" t="str">
        <f ca="1">IFERROR(_xludf.XLOOKUP($F373&amp;"."&amp;$G373,CaseSource!$A$2:$A$371,CaseSource!$B$2:$B$371,""),"")</f>
        <v/>
      </c>
    </row>
    <row r="374" spans="1:14" x14ac:dyDescent="0.2">
      <c r="A374" t="s">
        <v>58</v>
      </c>
      <c r="B374" t="s">
        <v>15</v>
      </c>
      <c r="C374" t="s">
        <v>49</v>
      </c>
      <c r="D374" t="s">
        <v>31</v>
      </c>
      <c r="F374" t="s">
        <v>24</v>
      </c>
      <c r="G374" t="s">
        <v>59</v>
      </c>
      <c r="H374">
        <v>1</v>
      </c>
      <c r="I374" t="s">
        <v>21</v>
      </c>
      <c r="J374" t="s">
        <v>22</v>
      </c>
      <c r="K374" t="s">
        <v>60</v>
      </c>
      <c r="N374" t="str">
        <f ca="1">IFERROR(_xludf.XLOOKUP($F374&amp;"."&amp;$G374,CaseSource!$A$2:$A$371,CaseSource!$B$2:$B$371,""),"")</f>
        <v/>
      </c>
    </row>
    <row r="375" spans="1:14" x14ac:dyDescent="0.2">
      <c r="A375" t="s">
        <v>58</v>
      </c>
      <c r="B375" t="s">
        <v>15</v>
      </c>
      <c r="C375" t="s">
        <v>49</v>
      </c>
      <c r="D375" t="s">
        <v>31</v>
      </c>
      <c r="F375" t="s">
        <v>61</v>
      </c>
      <c r="G375" t="s">
        <v>62</v>
      </c>
      <c r="H375">
        <v>2</v>
      </c>
      <c r="I375" t="s">
        <v>21</v>
      </c>
      <c r="J375" t="s">
        <v>22</v>
      </c>
      <c r="K375" t="s">
        <v>60</v>
      </c>
      <c r="N375" t="str">
        <f ca="1">IFERROR(_xludf.XLOOKUP($F375&amp;"."&amp;$G375,CaseSource!$A$2:$A$371,CaseSource!$B$2:$B$371,""),"")</f>
        <v/>
      </c>
    </row>
    <row r="376" spans="1:14" x14ac:dyDescent="0.2">
      <c r="A376" t="s">
        <v>58</v>
      </c>
      <c r="B376" t="s">
        <v>15</v>
      </c>
      <c r="C376" t="s">
        <v>49</v>
      </c>
      <c r="D376" t="s">
        <v>31</v>
      </c>
      <c r="F376" t="s">
        <v>19</v>
      </c>
      <c r="G376" t="s">
        <v>63</v>
      </c>
      <c r="H376">
        <v>3</v>
      </c>
      <c r="I376" t="s">
        <v>21</v>
      </c>
      <c r="J376" t="s">
        <v>22</v>
      </c>
      <c r="K376" t="s">
        <v>60</v>
      </c>
      <c r="N376" t="str">
        <f ca="1">IFERROR(_xludf.XLOOKUP($F376&amp;"."&amp;$G376,CaseSource!$A$2:$A$371,CaseSource!$B$2:$B$371,""),"")</f>
        <v/>
      </c>
    </row>
    <row r="377" spans="1:14" x14ac:dyDescent="0.2">
      <c r="A377" t="s">
        <v>58</v>
      </c>
      <c r="B377" t="s">
        <v>15</v>
      </c>
      <c r="C377" t="s">
        <v>49</v>
      </c>
      <c r="D377" t="s">
        <v>31</v>
      </c>
      <c r="F377" t="s">
        <v>64</v>
      </c>
      <c r="G377" t="s">
        <v>65</v>
      </c>
      <c r="H377">
        <v>4</v>
      </c>
      <c r="I377" t="s">
        <v>21</v>
      </c>
      <c r="J377" t="s">
        <v>22</v>
      </c>
      <c r="K377" t="s">
        <v>60</v>
      </c>
      <c r="N377" t="str">
        <f ca="1">IFERROR(_xludf.XLOOKUP($F377&amp;"."&amp;$G377,CaseSource!$A$2:$A$371,CaseSource!$B$2:$B$371,""),"")</f>
        <v/>
      </c>
    </row>
    <row r="378" spans="1:14" x14ac:dyDescent="0.2">
      <c r="A378" t="s">
        <v>58</v>
      </c>
      <c r="B378" t="s">
        <v>15</v>
      </c>
      <c r="C378" t="s">
        <v>49</v>
      </c>
      <c r="D378" t="s">
        <v>31</v>
      </c>
      <c r="F378" t="s">
        <v>24</v>
      </c>
      <c r="G378" t="s">
        <v>66</v>
      </c>
      <c r="H378">
        <v>5</v>
      </c>
      <c r="I378" t="s">
        <v>21</v>
      </c>
      <c r="J378" t="s">
        <v>22</v>
      </c>
      <c r="K378" t="s">
        <v>60</v>
      </c>
      <c r="N378" t="str">
        <f ca="1">IFERROR(_xludf.XLOOKUP($F378&amp;"."&amp;$G378,CaseSource!$A$2:$A$371,CaseSource!$B$2:$B$371,""),"")</f>
        <v/>
      </c>
    </row>
    <row r="379" spans="1:14" x14ac:dyDescent="0.2">
      <c r="A379" t="s">
        <v>58</v>
      </c>
      <c r="B379" t="s">
        <v>15</v>
      </c>
      <c r="C379" t="s">
        <v>49</v>
      </c>
      <c r="D379" t="s">
        <v>31</v>
      </c>
      <c r="F379" t="s">
        <v>24</v>
      </c>
      <c r="G379" t="s">
        <v>67</v>
      </c>
      <c r="H379">
        <v>6</v>
      </c>
      <c r="I379" t="s">
        <v>21</v>
      </c>
      <c r="J379" t="s">
        <v>22</v>
      </c>
      <c r="K379" t="s">
        <v>60</v>
      </c>
      <c r="N379" t="str">
        <f ca="1">IFERROR(_xludf.XLOOKUP($F379&amp;"."&amp;$G379,CaseSource!$A$2:$A$371,CaseSource!$B$2:$B$371,""),"")</f>
        <v/>
      </c>
    </row>
    <row r="380" spans="1:14" x14ac:dyDescent="0.2">
      <c r="A380" t="s">
        <v>58</v>
      </c>
      <c r="B380" t="s">
        <v>15</v>
      </c>
      <c r="C380" t="s">
        <v>49</v>
      </c>
      <c r="D380" t="s">
        <v>31</v>
      </c>
      <c r="F380" t="s">
        <v>19</v>
      </c>
      <c r="G380" t="s">
        <v>68</v>
      </c>
      <c r="H380">
        <v>7</v>
      </c>
      <c r="I380" t="s">
        <v>21</v>
      </c>
      <c r="J380" t="s">
        <v>22</v>
      </c>
      <c r="K380" t="s">
        <v>60</v>
      </c>
      <c r="N380" t="str">
        <f ca="1">IFERROR(_xludf.XLOOKUP($F380&amp;"."&amp;$G380,CaseSource!$A$2:$A$371,CaseSource!$B$2:$B$371,""),"")</f>
        <v/>
      </c>
    </row>
    <row r="381" spans="1:14" x14ac:dyDescent="0.2">
      <c r="A381" t="s">
        <v>58</v>
      </c>
      <c r="B381" t="s">
        <v>15</v>
      </c>
      <c r="C381" t="s">
        <v>49</v>
      </c>
      <c r="D381" t="s">
        <v>31</v>
      </c>
      <c r="F381" t="s">
        <v>19</v>
      </c>
      <c r="G381" t="s">
        <v>69</v>
      </c>
      <c r="H381">
        <v>8</v>
      </c>
      <c r="I381" t="s">
        <v>21</v>
      </c>
      <c r="J381" t="s">
        <v>22</v>
      </c>
      <c r="K381" t="s">
        <v>60</v>
      </c>
      <c r="N381" t="str">
        <f ca="1">IFERROR(_xludf.XLOOKUP($F381&amp;"."&amp;$G381,CaseSource!$A$2:$A$371,CaseSource!$B$2:$B$371,""),"")</f>
        <v/>
      </c>
    </row>
    <row r="382" spans="1:14" x14ac:dyDescent="0.2">
      <c r="A382" t="s">
        <v>74</v>
      </c>
      <c r="B382" t="s">
        <v>15</v>
      </c>
      <c r="C382" t="s">
        <v>49</v>
      </c>
      <c r="D382" t="s">
        <v>31</v>
      </c>
      <c r="F382" t="s">
        <v>24</v>
      </c>
      <c r="G382" t="s">
        <v>75</v>
      </c>
      <c r="H382">
        <v>1</v>
      </c>
      <c r="I382" t="s">
        <v>21</v>
      </c>
      <c r="J382" t="s">
        <v>22</v>
      </c>
      <c r="K382" t="s">
        <v>76</v>
      </c>
      <c r="N382" t="str">
        <f ca="1">IFERROR(_xludf.XLOOKUP($F382&amp;"."&amp;$G382,CaseSource!$A$2:$A$371,CaseSource!$B$2:$B$371,""),"")</f>
        <v/>
      </c>
    </row>
    <row r="383" spans="1:14" x14ac:dyDescent="0.2">
      <c r="A383" t="s">
        <v>74</v>
      </c>
      <c r="B383" t="s">
        <v>15</v>
      </c>
      <c r="C383" t="s">
        <v>49</v>
      </c>
      <c r="D383" t="s">
        <v>31</v>
      </c>
      <c r="F383" t="s">
        <v>24</v>
      </c>
      <c r="G383" t="s">
        <v>77</v>
      </c>
      <c r="H383">
        <v>2</v>
      </c>
      <c r="I383" t="s">
        <v>21</v>
      </c>
      <c r="J383" t="s">
        <v>22</v>
      </c>
      <c r="K383" t="s">
        <v>76</v>
      </c>
      <c r="N383" t="str">
        <f ca="1">IFERROR(_xludf.XLOOKUP($F383&amp;"."&amp;$G383,CaseSource!$A$2:$A$371,CaseSource!$B$2:$B$371,""),"")</f>
        <v/>
      </c>
    </row>
    <row r="384" spans="1:14" x14ac:dyDescent="0.2">
      <c r="A384" t="s">
        <v>82</v>
      </c>
      <c r="B384" t="s">
        <v>15</v>
      </c>
      <c r="C384" t="s">
        <v>83</v>
      </c>
      <c r="D384" t="s">
        <v>31</v>
      </c>
      <c r="F384" t="s">
        <v>24</v>
      </c>
      <c r="G384" t="s">
        <v>84</v>
      </c>
      <c r="H384">
        <v>1</v>
      </c>
      <c r="I384" t="s">
        <v>21</v>
      </c>
      <c r="J384" t="s">
        <v>22</v>
      </c>
      <c r="K384" t="s">
        <v>85</v>
      </c>
      <c r="N384" t="str">
        <f ca="1">IFERROR(_xludf.XLOOKUP($F384&amp;"."&amp;$G384,CaseSource!$A$2:$A$371,CaseSource!$B$2:$B$371,""),"")</f>
        <v/>
      </c>
    </row>
    <row r="385" spans="1:14" x14ac:dyDescent="0.2">
      <c r="A385" t="s">
        <v>82</v>
      </c>
      <c r="B385" t="s">
        <v>15</v>
      </c>
      <c r="C385" t="s">
        <v>83</v>
      </c>
      <c r="D385" t="s">
        <v>31</v>
      </c>
      <c r="F385" t="s">
        <v>19</v>
      </c>
      <c r="G385" t="s">
        <v>84</v>
      </c>
      <c r="H385">
        <v>2</v>
      </c>
      <c r="I385" t="s">
        <v>21</v>
      </c>
      <c r="J385" t="s">
        <v>22</v>
      </c>
      <c r="K385" t="s">
        <v>85</v>
      </c>
      <c r="N385" t="str">
        <f ca="1">IFERROR(_xludf.XLOOKUP($F385&amp;"."&amp;$G385,CaseSource!$A$2:$A$371,CaseSource!$B$2:$B$371,""),"")</f>
        <v/>
      </c>
    </row>
    <row r="386" spans="1:14" x14ac:dyDescent="0.2">
      <c r="A386" t="s">
        <v>114</v>
      </c>
      <c r="B386" t="s">
        <v>15</v>
      </c>
      <c r="C386" t="s">
        <v>16</v>
      </c>
      <c r="D386" t="s">
        <v>31</v>
      </c>
      <c r="F386" t="s">
        <v>19</v>
      </c>
      <c r="G386" t="s">
        <v>115</v>
      </c>
      <c r="H386">
        <v>1</v>
      </c>
      <c r="I386" t="s">
        <v>21</v>
      </c>
      <c r="J386" t="s">
        <v>22</v>
      </c>
      <c r="K386" t="s">
        <v>116</v>
      </c>
      <c r="N386" t="str">
        <f ca="1">IFERROR(_xludf.XLOOKUP($F386&amp;"."&amp;$G386,CaseSource!$A$2:$A$371,CaseSource!$B$2:$B$371,""),"")</f>
        <v/>
      </c>
    </row>
    <row r="387" spans="1:14" x14ac:dyDescent="0.2">
      <c r="A387" t="s">
        <v>114</v>
      </c>
      <c r="B387" t="s">
        <v>15</v>
      </c>
      <c r="C387" t="s">
        <v>16</v>
      </c>
      <c r="D387" t="s">
        <v>31</v>
      </c>
      <c r="F387" t="s">
        <v>19</v>
      </c>
      <c r="G387" t="s">
        <v>117</v>
      </c>
      <c r="H387">
        <v>2</v>
      </c>
      <c r="I387" t="s">
        <v>21</v>
      </c>
      <c r="J387" t="s">
        <v>22</v>
      </c>
      <c r="K387" t="s">
        <v>116</v>
      </c>
      <c r="N387" t="str">
        <f ca="1">IFERROR(_xludf.XLOOKUP($F387&amp;"."&amp;$G387,CaseSource!$A$2:$A$371,CaseSource!$B$2:$B$371,""),"")</f>
        <v/>
      </c>
    </row>
    <row r="388" spans="1:14" x14ac:dyDescent="0.2">
      <c r="A388" t="s">
        <v>114</v>
      </c>
      <c r="B388" t="s">
        <v>15</v>
      </c>
      <c r="C388" t="s">
        <v>16</v>
      </c>
      <c r="D388" t="s">
        <v>31</v>
      </c>
      <c r="F388" t="s">
        <v>24</v>
      </c>
      <c r="G388" t="s">
        <v>118</v>
      </c>
      <c r="H388">
        <v>3</v>
      </c>
      <c r="I388" t="s">
        <v>21</v>
      </c>
      <c r="J388" t="s">
        <v>22</v>
      </c>
      <c r="K388" t="s">
        <v>116</v>
      </c>
      <c r="N388" t="str">
        <f ca="1">IFERROR(_xludf.XLOOKUP($F388&amp;"."&amp;$G388,CaseSource!$A$2:$A$371,CaseSource!$B$2:$B$371,""),"")</f>
        <v/>
      </c>
    </row>
    <row r="389" spans="1:14" x14ac:dyDescent="0.2">
      <c r="A389" t="s">
        <v>134</v>
      </c>
      <c r="B389" t="s">
        <v>15</v>
      </c>
      <c r="C389" t="s">
        <v>135</v>
      </c>
      <c r="D389" t="s">
        <v>31</v>
      </c>
      <c r="F389" t="s">
        <v>19</v>
      </c>
      <c r="G389" t="s">
        <v>136</v>
      </c>
      <c r="H389">
        <v>1</v>
      </c>
      <c r="I389" t="s">
        <v>21</v>
      </c>
      <c r="J389" t="s">
        <v>22</v>
      </c>
      <c r="K389" t="s">
        <v>126</v>
      </c>
      <c r="N389" t="str">
        <f ca="1">IFERROR(_xludf.XLOOKUP($F389&amp;"."&amp;$G389,CaseSource!$A$2:$A$371,CaseSource!$B$2:$B$371,""),"")</f>
        <v/>
      </c>
    </row>
    <row r="390" spans="1:14" x14ac:dyDescent="0.2">
      <c r="A390" t="s">
        <v>134</v>
      </c>
      <c r="B390" t="s">
        <v>15</v>
      </c>
      <c r="C390" t="s">
        <v>135</v>
      </c>
      <c r="D390" t="s">
        <v>31</v>
      </c>
      <c r="F390" t="s">
        <v>19</v>
      </c>
      <c r="G390" t="s">
        <v>137</v>
      </c>
      <c r="H390">
        <v>2</v>
      </c>
      <c r="I390" t="s">
        <v>21</v>
      </c>
      <c r="J390" t="s">
        <v>22</v>
      </c>
      <c r="K390" t="s">
        <v>126</v>
      </c>
      <c r="N390" t="str">
        <f ca="1">IFERROR(_xludf.XLOOKUP($F390&amp;"."&amp;$G390,CaseSource!$A$2:$A$371,CaseSource!$B$2:$B$371,""),"")</f>
        <v/>
      </c>
    </row>
    <row r="391" spans="1:14" x14ac:dyDescent="0.2">
      <c r="A391" t="s">
        <v>134</v>
      </c>
      <c r="B391" t="s">
        <v>15</v>
      </c>
      <c r="C391" t="s">
        <v>135</v>
      </c>
      <c r="D391" t="s">
        <v>31</v>
      </c>
      <c r="F391" t="s">
        <v>24</v>
      </c>
      <c r="G391" t="s">
        <v>138</v>
      </c>
      <c r="H391">
        <v>3</v>
      </c>
      <c r="I391" t="s">
        <v>21</v>
      </c>
      <c r="J391" t="s">
        <v>22</v>
      </c>
      <c r="K391" t="s">
        <v>126</v>
      </c>
      <c r="N391" t="str">
        <f ca="1">IFERROR(_xludf.XLOOKUP($F391&amp;"."&amp;$G391,CaseSource!$A$2:$A$371,CaseSource!$B$2:$B$371,""),"")</f>
        <v/>
      </c>
    </row>
    <row r="392" spans="1:14" x14ac:dyDescent="0.2">
      <c r="A392" t="s">
        <v>139</v>
      </c>
      <c r="B392" t="s">
        <v>15</v>
      </c>
      <c r="C392" t="s">
        <v>80</v>
      </c>
      <c r="D392" t="s">
        <v>31</v>
      </c>
      <c r="F392" t="s">
        <v>19</v>
      </c>
      <c r="G392" t="s">
        <v>33</v>
      </c>
      <c r="H392">
        <v>1</v>
      </c>
      <c r="I392" t="s">
        <v>21</v>
      </c>
      <c r="J392" t="s">
        <v>22</v>
      </c>
      <c r="K392" t="s">
        <v>126</v>
      </c>
      <c r="N392" t="str">
        <f ca="1">IFERROR(_xludf.XLOOKUP($F392&amp;"."&amp;$G392,CaseSource!$A$2:$A$371,CaseSource!$B$2:$B$371,""),"")</f>
        <v/>
      </c>
    </row>
    <row r="393" spans="1:14" x14ac:dyDescent="0.2">
      <c r="A393" t="s">
        <v>139</v>
      </c>
      <c r="B393" t="s">
        <v>15</v>
      </c>
      <c r="C393" t="s">
        <v>80</v>
      </c>
      <c r="D393" t="s">
        <v>31</v>
      </c>
      <c r="F393" t="s">
        <v>19</v>
      </c>
      <c r="G393" t="s">
        <v>35</v>
      </c>
      <c r="H393">
        <v>2</v>
      </c>
      <c r="I393" t="s">
        <v>21</v>
      </c>
      <c r="J393" t="s">
        <v>22</v>
      </c>
      <c r="K393" t="s">
        <v>126</v>
      </c>
      <c r="N393" t="str">
        <f ca="1">IFERROR(_xludf.XLOOKUP($F393&amp;"."&amp;$G393,CaseSource!$A$2:$A$371,CaseSource!$B$2:$B$371,""),"")</f>
        <v/>
      </c>
    </row>
    <row r="394" spans="1:14" x14ac:dyDescent="0.2">
      <c r="A394" t="s">
        <v>139</v>
      </c>
      <c r="B394" t="s">
        <v>15</v>
      </c>
      <c r="C394" t="s">
        <v>80</v>
      </c>
      <c r="D394" t="s">
        <v>31</v>
      </c>
      <c r="F394" t="s">
        <v>24</v>
      </c>
      <c r="G394" t="s">
        <v>36</v>
      </c>
      <c r="H394">
        <v>3</v>
      </c>
      <c r="I394" t="s">
        <v>21</v>
      </c>
      <c r="J394" t="s">
        <v>22</v>
      </c>
      <c r="K394" t="s">
        <v>126</v>
      </c>
      <c r="N394" t="str">
        <f ca="1">IFERROR(_xludf.XLOOKUP($F394&amp;"."&amp;$G394,CaseSource!$A$2:$A$371,CaseSource!$B$2:$B$371,""),"")</f>
        <v/>
      </c>
    </row>
    <row r="395" spans="1:14" x14ac:dyDescent="0.2">
      <c r="A395" t="s">
        <v>165</v>
      </c>
      <c r="B395" t="s">
        <v>15</v>
      </c>
      <c r="C395" t="s">
        <v>166</v>
      </c>
      <c r="D395" t="s">
        <v>31</v>
      </c>
      <c r="F395" t="s">
        <v>24</v>
      </c>
      <c r="G395" t="s">
        <v>167</v>
      </c>
      <c r="H395">
        <v>1</v>
      </c>
      <c r="I395" t="s">
        <v>21</v>
      </c>
      <c r="J395" t="s">
        <v>22</v>
      </c>
      <c r="K395" t="s">
        <v>160</v>
      </c>
      <c r="N395" t="str">
        <f ca="1">IFERROR(_xludf.XLOOKUP($F395&amp;"."&amp;$G395,CaseSource!$A$2:$A$371,CaseSource!$B$2:$B$371,""),"")</f>
        <v/>
      </c>
    </row>
    <row r="396" spans="1:14" x14ac:dyDescent="0.2">
      <c r="A396" t="s">
        <v>168</v>
      </c>
      <c r="B396" t="s">
        <v>15</v>
      </c>
      <c r="C396" t="s">
        <v>166</v>
      </c>
      <c r="D396" t="s">
        <v>31</v>
      </c>
      <c r="F396" t="s">
        <v>24</v>
      </c>
      <c r="G396" t="s">
        <v>169</v>
      </c>
      <c r="H396">
        <v>1</v>
      </c>
      <c r="I396" t="s">
        <v>21</v>
      </c>
      <c r="J396" t="s">
        <v>22</v>
      </c>
      <c r="K396" t="s">
        <v>126</v>
      </c>
      <c r="N396" t="str">
        <f ca="1">IFERROR(_xludf.XLOOKUP($F396&amp;"."&amp;$G396,CaseSource!$A$2:$A$371,CaseSource!$B$2:$B$371,""),"")</f>
        <v/>
      </c>
    </row>
    <row r="397" spans="1:14" x14ac:dyDescent="0.2">
      <c r="A397" t="s">
        <v>172</v>
      </c>
      <c r="B397" t="s">
        <v>15</v>
      </c>
      <c r="C397" t="s">
        <v>166</v>
      </c>
      <c r="D397" t="s">
        <v>31</v>
      </c>
      <c r="F397" t="s">
        <v>24</v>
      </c>
      <c r="G397" t="s">
        <v>173</v>
      </c>
      <c r="H397">
        <v>1</v>
      </c>
      <c r="I397" t="s">
        <v>21</v>
      </c>
      <c r="J397" t="s">
        <v>22</v>
      </c>
      <c r="K397" t="s">
        <v>174</v>
      </c>
      <c r="N397" t="str">
        <f ca="1">IFERROR(_xludf.XLOOKUP($F397&amp;"."&amp;$G397,CaseSource!$A$2:$A$371,CaseSource!$B$2:$B$371,""),"")</f>
        <v/>
      </c>
    </row>
    <row r="398" spans="1:14" x14ac:dyDescent="0.2">
      <c r="A398" t="s">
        <v>177</v>
      </c>
      <c r="B398" t="s">
        <v>15</v>
      </c>
      <c r="C398" t="s">
        <v>166</v>
      </c>
      <c r="D398" t="s">
        <v>31</v>
      </c>
      <c r="F398" t="s">
        <v>24</v>
      </c>
      <c r="G398" t="s">
        <v>176</v>
      </c>
      <c r="H398">
        <v>1</v>
      </c>
      <c r="I398" t="s">
        <v>21</v>
      </c>
      <c r="J398" t="s">
        <v>22</v>
      </c>
      <c r="K398" t="s">
        <v>126</v>
      </c>
      <c r="N398" t="str">
        <f ca="1">IFERROR(_xludf.XLOOKUP($F398&amp;"."&amp;$G398,CaseSource!$A$2:$A$371,CaseSource!$B$2:$B$371,""),"")</f>
        <v/>
      </c>
    </row>
    <row r="399" spans="1:14" x14ac:dyDescent="0.2">
      <c r="A399" t="s">
        <v>211</v>
      </c>
      <c r="B399" t="s">
        <v>15</v>
      </c>
      <c r="C399" t="s">
        <v>54</v>
      </c>
      <c r="D399" t="s">
        <v>31</v>
      </c>
      <c r="F399" t="s">
        <v>19</v>
      </c>
      <c r="G399" t="s">
        <v>212</v>
      </c>
      <c r="H399">
        <v>1</v>
      </c>
      <c r="I399" t="s">
        <v>21</v>
      </c>
      <c r="J399" t="s">
        <v>22</v>
      </c>
      <c r="K399" t="s">
        <v>213</v>
      </c>
      <c r="N399" t="str">
        <f ca="1">IFERROR(_xludf.XLOOKUP($F399&amp;"."&amp;$G399,CaseSource!$A$2:$A$371,CaseSource!$B$2:$B$371,""),"")</f>
        <v/>
      </c>
    </row>
    <row r="400" spans="1:14" x14ac:dyDescent="0.2">
      <c r="A400" t="s">
        <v>214</v>
      </c>
      <c r="B400" t="s">
        <v>15</v>
      </c>
      <c r="C400" t="s">
        <v>54</v>
      </c>
      <c r="D400" t="s">
        <v>215</v>
      </c>
      <c r="E400" t="s">
        <v>216</v>
      </c>
      <c r="F400" t="s">
        <v>24</v>
      </c>
      <c r="G400" t="s">
        <v>217</v>
      </c>
      <c r="H400">
        <v>1</v>
      </c>
      <c r="I400" t="s">
        <v>21</v>
      </c>
      <c r="J400" t="s">
        <v>22</v>
      </c>
      <c r="K400" t="s">
        <v>160</v>
      </c>
      <c r="N400" t="str">
        <f ca="1">IFERROR(_xludf.XLOOKUP($F400&amp;"."&amp;$G400,CaseSource!$A$2:$A$371,CaseSource!$B$2:$B$371,""),"")</f>
        <v/>
      </c>
    </row>
    <row r="401" spans="1:14" x14ac:dyDescent="0.2">
      <c r="A401" t="s">
        <v>214</v>
      </c>
      <c r="B401" t="s">
        <v>15</v>
      </c>
      <c r="C401" t="s">
        <v>54</v>
      </c>
      <c r="D401" t="s">
        <v>215</v>
      </c>
      <c r="E401" t="s">
        <v>216</v>
      </c>
      <c r="F401" t="s">
        <v>206</v>
      </c>
      <c r="G401" t="s">
        <v>218</v>
      </c>
      <c r="H401">
        <v>2</v>
      </c>
      <c r="I401" t="s">
        <v>21</v>
      </c>
      <c r="J401" t="s">
        <v>22</v>
      </c>
      <c r="K401" t="s">
        <v>160</v>
      </c>
      <c r="N401" t="str">
        <f ca="1">IFERROR(_xludf.XLOOKUP($F401&amp;"."&amp;$G401,CaseSource!$A$2:$A$371,CaseSource!$B$2:$B$371,""),"")</f>
        <v/>
      </c>
    </row>
    <row r="402" spans="1:14" x14ac:dyDescent="0.2">
      <c r="A402" t="s">
        <v>214</v>
      </c>
      <c r="B402" t="s">
        <v>15</v>
      </c>
      <c r="C402" t="s">
        <v>54</v>
      </c>
      <c r="D402" t="s">
        <v>215</v>
      </c>
      <c r="E402" t="s">
        <v>216</v>
      </c>
      <c r="F402" t="s">
        <v>19</v>
      </c>
      <c r="G402" t="s">
        <v>219</v>
      </c>
      <c r="H402">
        <v>3</v>
      </c>
      <c r="I402" t="s">
        <v>21</v>
      </c>
      <c r="J402" t="s">
        <v>22</v>
      </c>
      <c r="K402" t="s">
        <v>160</v>
      </c>
      <c r="N402" t="str">
        <f ca="1">IFERROR(_xludf.XLOOKUP($F402&amp;"."&amp;$G402,CaseSource!$A$2:$A$371,CaseSource!$B$2:$B$371,""),"")</f>
        <v/>
      </c>
    </row>
    <row r="403" spans="1:14" x14ac:dyDescent="0.2">
      <c r="A403" t="s">
        <v>230</v>
      </c>
      <c r="B403" t="s">
        <v>15</v>
      </c>
      <c r="C403" t="s">
        <v>54</v>
      </c>
      <c r="D403" t="s">
        <v>31</v>
      </c>
      <c r="F403" t="s">
        <v>19</v>
      </c>
      <c r="G403" t="s">
        <v>231</v>
      </c>
      <c r="H403">
        <v>1</v>
      </c>
      <c r="I403" t="s">
        <v>21</v>
      </c>
      <c r="J403" t="s">
        <v>22</v>
      </c>
      <c r="K403" t="s">
        <v>232</v>
      </c>
      <c r="N403" t="str">
        <f ca="1">IFERROR(_xludf.XLOOKUP($F403&amp;"."&amp;$G403,CaseSource!$A$2:$A$371,CaseSource!$B$2:$B$371,""),"")</f>
        <v/>
      </c>
    </row>
    <row r="404" spans="1:14" x14ac:dyDescent="0.2">
      <c r="A404" t="s">
        <v>444</v>
      </c>
      <c r="B404" t="s">
        <v>15</v>
      </c>
      <c r="C404" t="s">
        <v>54</v>
      </c>
      <c r="D404" t="s">
        <v>31</v>
      </c>
      <c r="H404">
        <v>1</v>
      </c>
      <c r="I404" t="s">
        <v>21</v>
      </c>
      <c r="J404" t="s">
        <v>22</v>
      </c>
      <c r="N404" t="str">
        <f ca="1">IFERROR(_xludf.XLOOKUP($F404&amp;"."&amp;$G404,CaseSource!$A$2:$A$371,CaseSource!$B$2:$B$371,""),"")</f>
        <v/>
      </c>
    </row>
    <row r="405" spans="1:14" x14ac:dyDescent="0.2">
      <c r="A405" t="s">
        <v>449</v>
      </c>
      <c r="B405" t="s">
        <v>15</v>
      </c>
      <c r="C405" t="s">
        <v>54</v>
      </c>
      <c r="D405" t="s">
        <v>31</v>
      </c>
      <c r="H405">
        <v>1</v>
      </c>
      <c r="I405" t="s">
        <v>21</v>
      </c>
      <c r="J405" t="s">
        <v>22</v>
      </c>
      <c r="N405" t="str">
        <f ca="1">IFERROR(_xludf.XLOOKUP($F405&amp;"."&amp;$G405,CaseSource!$A$2:$A$371,CaseSource!$B$2:$B$371,""),"")</f>
        <v/>
      </c>
    </row>
    <row r="406" spans="1:14" x14ac:dyDescent="0.2">
      <c r="A406" t="s">
        <v>450</v>
      </c>
      <c r="B406" t="s">
        <v>15</v>
      </c>
      <c r="C406" t="s">
        <v>54</v>
      </c>
      <c r="D406" t="s">
        <v>451</v>
      </c>
      <c r="E406" t="s">
        <v>452</v>
      </c>
      <c r="H406">
        <v>1</v>
      </c>
      <c r="I406" t="s">
        <v>21</v>
      </c>
      <c r="J406" t="s">
        <v>22</v>
      </c>
      <c r="N406" t="str">
        <f ca="1">IFERROR(_xludf.XLOOKUP($F406&amp;"."&amp;$G406,CaseSource!$A$2:$A$371,CaseSource!$B$2:$B$371,""),"")</f>
        <v/>
      </c>
    </row>
    <row r="407" spans="1:14" x14ac:dyDescent="0.2">
      <c r="A407" t="s">
        <v>539</v>
      </c>
      <c r="B407" t="s">
        <v>15</v>
      </c>
      <c r="C407" t="s">
        <v>54</v>
      </c>
      <c r="D407" t="s">
        <v>31</v>
      </c>
      <c r="H407">
        <v>1</v>
      </c>
      <c r="I407" t="s">
        <v>21</v>
      </c>
      <c r="J407" t="s">
        <v>22</v>
      </c>
      <c r="N407" t="str">
        <f ca="1">IFERROR(_xludf.XLOOKUP($F407&amp;"."&amp;$G407,CaseSource!$A$2:$A$371,CaseSource!$B$2:$B$371,""),"")</f>
        <v/>
      </c>
    </row>
    <row r="408" spans="1:14" x14ac:dyDescent="0.2">
      <c r="A408" t="s">
        <v>543</v>
      </c>
      <c r="B408" t="s">
        <v>15</v>
      </c>
      <c r="C408" t="s">
        <v>54</v>
      </c>
      <c r="D408" t="s">
        <v>31</v>
      </c>
      <c r="F408" t="s">
        <v>24</v>
      </c>
      <c r="G408" t="s">
        <v>237</v>
      </c>
      <c r="H408">
        <v>1</v>
      </c>
      <c r="I408" t="s">
        <v>21</v>
      </c>
      <c r="J408" t="s">
        <v>22</v>
      </c>
      <c r="N408" t="str">
        <f ca="1">IFERROR(_xludf.XLOOKUP($F408&amp;"."&amp;$G408,CaseSource!$A$2:$A$371,CaseSource!$B$2:$B$371,""),"")</f>
        <v/>
      </c>
    </row>
    <row r="409" spans="1:14" x14ac:dyDescent="0.2">
      <c r="A409" t="s">
        <v>544</v>
      </c>
      <c r="B409" t="s">
        <v>15</v>
      </c>
      <c r="C409" t="s">
        <v>54</v>
      </c>
      <c r="D409" t="s">
        <v>31</v>
      </c>
      <c r="H409">
        <v>1</v>
      </c>
      <c r="I409" t="s">
        <v>21</v>
      </c>
      <c r="J409" t="s">
        <v>22</v>
      </c>
      <c r="N409" t="str">
        <f ca="1">IFERROR(_xludf.XLOOKUP($F409&amp;"."&amp;$G409,CaseSource!$A$2:$A$371,CaseSource!$B$2:$B$371,""),"")</f>
        <v/>
      </c>
    </row>
    <row r="410" spans="1:14" x14ac:dyDescent="0.2">
      <c r="A410" t="s">
        <v>615</v>
      </c>
      <c r="B410" t="s">
        <v>15</v>
      </c>
      <c r="C410" t="s">
        <v>54</v>
      </c>
      <c r="D410" t="s">
        <v>31</v>
      </c>
      <c r="H410">
        <v>1</v>
      </c>
      <c r="I410" t="s">
        <v>21</v>
      </c>
      <c r="J410" t="s">
        <v>22</v>
      </c>
      <c r="N410" t="str">
        <f ca="1">IFERROR(_xludf.XLOOKUP($F410&amp;"."&amp;$G410,CaseSource!$A$2:$A$371,CaseSource!$B$2:$B$371,""),"")</f>
        <v/>
      </c>
    </row>
    <row r="411" spans="1:14" x14ac:dyDescent="0.2">
      <c r="A411" t="s">
        <v>616</v>
      </c>
      <c r="B411" t="s">
        <v>15</v>
      </c>
      <c r="C411" t="s">
        <v>54</v>
      </c>
      <c r="D411" t="s">
        <v>31</v>
      </c>
      <c r="H411">
        <v>1</v>
      </c>
      <c r="I411" t="s">
        <v>21</v>
      </c>
      <c r="J411" t="s">
        <v>22</v>
      </c>
      <c r="N411" t="str">
        <f ca="1">IFERROR(_xludf.XLOOKUP($F411&amp;"."&amp;$G411,CaseSource!$A$2:$A$371,CaseSource!$B$2:$B$371,""),"")</f>
        <v/>
      </c>
    </row>
    <row r="412" spans="1:14" x14ac:dyDescent="0.2">
      <c r="A412" t="s">
        <v>626</v>
      </c>
      <c r="B412" t="s">
        <v>15</v>
      </c>
      <c r="C412" t="s">
        <v>16</v>
      </c>
      <c r="D412" t="s">
        <v>31</v>
      </c>
      <c r="H412">
        <v>1</v>
      </c>
      <c r="I412" t="s">
        <v>21</v>
      </c>
      <c r="J412" t="s">
        <v>22</v>
      </c>
      <c r="N412" t="str">
        <f ca="1">IFERROR(_xludf.XLOOKUP($F412&amp;"."&amp;$G412,CaseSource!$A$2:$A$371,CaseSource!$B$2:$B$371,""),"")</f>
        <v/>
      </c>
    </row>
    <row r="413" spans="1:14" x14ac:dyDescent="0.2">
      <c r="A413" t="s">
        <v>630</v>
      </c>
      <c r="B413" t="s">
        <v>15</v>
      </c>
      <c r="C413" t="s">
        <v>80</v>
      </c>
      <c r="D413" t="s">
        <v>31</v>
      </c>
      <c r="H413">
        <v>1</v>
      </c>
      <c r="I413" t="s">
        <v>21</v>
      </c>
      <c r="J413" t="s">
        <v>22</v>
      </c>
      <c r="N413" t="str">
        <f ca="1">IFERROR(_xludf.XLOOKUP($F413&amp;"."&amp;$G413,CaseSource!$A$2:$A$371,CaseSource!$B$2:$B$371,""),"")</f>
        <v/>
      </c>
    </row>
    <row r="414" spans="1:14" hidden="1" x14ac:dyDescent="0.2">
      <c r="A414" t="s">
        <v>39</v>
      </c>
      <c r="B414" t="s">
        <v>40</v>
      </c>
      <c r="C414" t="s">
        <v>16</v>
      </c>
      <c r="D414" t="s">
        <v>31</v>
      </c>
      <c r="E414" t="s">
        <v>41</v>
      </c>
      <c r="F414" t="s">
        <v>19</v>
      </c>
      <c r="G414" t="s">
        <v>42</v>
      </c>
      <c r="H414">
        <v>1</v>
      </c>
      <c r="I414" t="s">
        <v>21</v>
      </c>
      <c r="J414" t="s">
        <v>22</v>
      </c>
      <c r="K414" t="s">
        <v>43</v>
      </c>
      <c r="N414" t="str">
        <f ca="1">IFERROR(_xludf.XLOOKUP($F414&amp;"."&amp;$G414,CaseSource!$A$2:$A$371,CaseSource!$B$2:$B$371,""),"")</f>
        <v/>
      </c>
    </row>
    <row r="415" spans="1:14" hidden="1" x14ac:dyDescent="0.2">
      <c r="A415" t="s">
        <v>39</v>
      </c>
      <c r="B415" t="s">
        <v>40</v>
      </c>
      <c r="C415" t="s">
        <v>16</v>
      </c>
      <c r="D415" t="s">
        <v>31</v>
      </c>
      <c r="E415" t="s">
        <v>41</v>
      </c>
      <c r="F415" t="s">
        <v>44</v>
      </c>
      <c r="G415" t="s">
        <v>42</v>
      </c>
      <c r="H415">
        <v>2</v>
      </c>
      <c r="I415" t="s">
        <v>21</v>
      </c>
      <c r="J415" t="s">
        <v>22</v>
      </c>
      <c r="K415" t="s">
        <v>43</v>
      </c>
      <c r="N415" t="str">
        <f ca="1">IFERROR(_xludf.XLOOKUP($F415&amp;"."&amp;$G415,CaseSource!$A$2:$A$371,CaseSource!$B$2:$B$371,""),"")</f>
        <v/>
      </c>
    </row>
    <row r="416" spans="1:14" hidden="1" x14ac:dyDescent="0.2">
      <c r="A416" t="s">
        <v>39</v>
      </c>
      <c r="B416" t="s">
        <v>40</v>
      </c>
      <c r="C416" t="s">
        <v>16</v>
      </c>
      <c r="D416" t="s">
        <v>31</v>
      </c>
      <c r="E416" t="s">
        <v>41</v>
      </c>
      <c r="F416" t="s">
        <v>19</v>
      </c>
      <c r="G416" t="s">
        <v>45</v>
      </c>
      <c r="H416">
        <v>3</v>
      </c>
      <c r="I416" t="s">
        <v>21</v>
      </c>
      <c r="J416" t="s">
        <v>22</v>
      </c>
      <c r="K416" t="s">
        <v>43</v>
      </c>
      <c r="N416" t="str">
        <f ca="1">IFERROR(_xludf.XLOOKUP($F416&amp;"."&amp;$G416,CaseSource!$A$2:$A$371,CaseSource!$B$2:$B$371,""),"")</f>
        <v/>
      </c>
    </row>
    <row r="417" spans="1:14" hidden="1" x14ac:dyDescent="0.2">
      <c r="A417" t="s">
        <v>39</v>
      </c>
      <c r="B417" t="s">
        <v>40</v>
      </c>
      <c r="C417" t="s">
        <v>16</v>
      </c>
      <c r="D417" t="s">
        <v>31</v>
      </c>
      <c r="E417" t="s">
        <v>41</v>
      </c>
      <c r="F417" t="s">
        <v>44</v>
      </c>
      <c r="G417" t="s">
        <v>45</v>
      </c>
      <c r="H417">
        <v>4</v>
      </c>
      <c r="I417" t="s">
        <v>21</v>
      </c>
      <c r="J417" t="s">
        <v>22</v>
      </c>
      <c r="K417" t="s">
        <v>43</v>
      </c>
      <c r="N417" t="str">
        <f ca="1">IFERROR(_xludf.XLOOKUP($F417&amp;"."&amp;$G417,CaseSource!$A$2:$A$371,CaseSource!$B$2:$B$371,""),"")</f>
        <v/>
      </c>
    </row>
    <row r="418" spans="1:14" hidden="1" x14ac:dyDescent="0.2">
      <c r="A418" t="s">
        <v>39</v>
      </c>
      <c r="B418" t="s">
        <v>40</v>
      </c>
      <c r="C418" t="s">
        <v>16</v>
      </c>
      <c r="D418" t="s">
        <v>31</v>
      </c>
      <c r="E418" t="s">
        <v>41</v>
      </c>
      <c r="F418" t="s">
        <v>19</v>
      </c>
      <c r="G418" t="s">
        <v>46</v>
      </c>
      <c r="H418">
        <v>5</v>
      </c>
      <c r="I418" t="s">
        <v>21</v>
      </c>
      <c r="J418" t="s">
        <v>22</v>
      </c>
      <c r="K418" t="s">
        <v>43</v>
      </c>
      <c r="N418" t="str">
        <f ca="1">IFERROR(_xludf.XLOOKUP($F418&amp;"."&amp;$G418,CaseSource!$A$2:$A$371,CaseSource!$B$2:$B$371,""),"")</f>
        <v/>
      </c>
    </row>
    <row r="419" spans="1:14" hidden="1" x14ac:dyDescent="0.2">
      <c r="A419" t="s">
        <v>39</v>
      </c>
      <c r="B419" t="s">
        <v>40</v>
      </c>
      <c r="C419" t="s">
        <v>16</v>
      </c>
      <c r="D419" t="s">
        <v>31</v>
      </c>
      <c r="E419" t="s">
        <v>41</v>
      </c>
      <c r="F419" t="s">
        <v>19</v>
      </c>
      <c r="G419" t="s">
        <v>47</v>
      </c>
      <c r="H419">
        <v>6</v>
      </c>
      <c r="I419" t="s">
        <v>21</v>
      </c>
      <c r="J419" t="s">
        <v>22</v>
      </c>
      <c r="K419" t="s">
        <v>43</v>
      </c>
      <c r="N419" t="str">
        <f ca="1">IFERROR(_xludf.XLOOKUP($F419&amp;"."&amp;$G419,CaseSource!$A$2:$A$371,CaseSource!$B$2:$B$371,""),"")</f>
        <v/>
      </c>
    </row>
    <row r="420" spans="1:14" hidden="1" x14ac:dyDescent="0.2">
      <c r="A420" t="s">
        <v>227</v>
      </c>
      <c r="B420" t="s">
        <v>40</v>
      </c>
      <c r="C420" t="s">
        <v>228</v>
      </c>
      <c r="D420" t="s">
        <v>31</v>
      </c>
      <c r="F420" t="s">
        <v>19</v>
      </c>
      <c r="G420" t="s">
        <v>229</v>
      </c>
      <c r="H420">
        <v>1</v>
      </c>
      <c r="I420" t="s">
        <v>21</v>
      </c>
      <c r="J420" t="s">
        <v>22</v>
      </c>
      <c r="K420" t="s">
        <v>98</v>
      </c>
      <c r="N420" t="str">
        <f ca="1">IFERROR(_xludf.XLOOKUP($F420&amp;"."&amp;$G420,CaseSource!$A$2:$A$371,CaseSource!$B$2:$B$371,""),"")</f>
        <v/>
      </c>
    </row>
    <row r="421" spans="1:14" hidden="1" x14ac:dyDescent="0.2">
      <c r="A421" t="s">
        <v>367</v>
      </c>
      <c r="B421" t="s">
        <v>40</v>
      </c>
      <c r="C421" t="s">
        <v>16</v>
      </c>
      <c r="D421" t="s">
        <v>31</v>
      </c>
      <c r="H421">
        <v>1</v>
      </c>
      <c r="I421" t="s">
        <v>21</v>
      </c>
      <c r="J421" t="s">
        <v>22</v>
      </c>
      <c r="N421" t="str">
        <f ca="1">IFERROR(_xludf.XLOOKUP($F421&amp;"."&amp;$G421,CaseSource!$A$2:$A$371,CaseSource!$B$2:$B$371,""),"")</f>
        <v/>
      </c>
    </row>
    <row r="422" spans="1:14" hidden="1" x14ac:dyDescent="0.2">
      <c r="A422" t="s">
        <v>430</v>
      </c>
      <c r="B422" t="s">
        <v>40</v>
      </c>
      <c r="C422" t="s">
        <v>16</v>
      </c>
      <c r="D422" t="s">
        <v>31</v>
      </c>
      <c r="H422">
        <v>1</v>
      </c>
      <c r="I422" t="s">
        <v>21</v>
      </c>
      <c r="J422" t="s">
        <v>22</v>
      </c>
      <c r="N422" t="str">
        <f ca="1">IFERROR(_xludf.XLOOKUP($F422&amp;"."&amp;$G422,CaseSource!$A$2:$A$371,CaseSource!$B$2:$B$371,""),"")</f>
        <v/>
      </c>
    </row>
    <row r="423" spans="1:14" hidden="1" x14ac:dyDescent="0.2">
      <c r="A423" t="s">
        <v>460</v>
      </c>
      <c r="B423" t="s">
        <v>40</v>
      </c>
      <c r="C423" t="s">
        <v>16</v>
      </c>
      <c r="D423" t="s">
        <v>31</v>
      </c>
      <c r="H423">
        <v>1</v>
      </c>
      <c r="I423" t="s">
        <v>21</v>
      </c>
      <c r="J423" t="s">
        <v>22</v>
      </c>
      <c r="N423" t="str">
        <f ca="1">IFERROR(_xludf.XLOOKUP($F423&amp;"."&amp;$G423,CaseSource!$A$2:$A$371,CaseSource!$B$2:$B$371,""),"")</f>
        <v/>
      </c>
    </row>
    <row r="424" spans="1:14" hidden="1" x14ac:dyDescent="0.2">
      <c r="A424" t="s">
        <v>461</v>
      </c>
      <c r="B424" t="s">
        <v>40</v>
      </c>
      <c r="C424" t="s">
        <v>16</v>
      </c>
      <c r="D424" t="s">
        <v>31</v>
      </c>
      <c r="H424">
        <v>1</v>
      </c>
      <c r="I424" t="s">
        <v>21</v>
      </c>
      <c r="J424" t="s">
        <v>22</v>
      </c>
      <c r="N424" t="str">
        <f ca="1">IFERROR(_xludf.XLOOKUP($F424&amp;"."&amp;$G424,CaseSource!$A$2:$A$371,CaseSource!$B$2:$B$371,""),"")</f>
        <v/>
      </c>
    </row>
    <row r="425" spans="1:14" hidden="1" x14ac:dyDescent="0.2">
      <c r="A425" t="s">
        <v>462</v>
      </c>
      <c r="B425" t="s">
        <v>40</v>
      </c>
      <c r="C425" t="s">
        <v>16</v>
      </c>
      <c r="D425" t="s">
        <v>31</v>
      </c>
      <c r="H425">
        <v>1</v>
      </c>
      <c r="I425" t="s">
        <v>21</v>
      </c>
      <c r="J425" t="s">
        <v>22</v>
      </c>
      <c r="N425" t="str">
        <f ca="1">IFERROR(_xludf.XLOOKUP($F425&amp;"."&amp;$G425,CaseSource!$A$2:$A$371,CaseSource!$B$2:$B$371,""),"")</f>
        <v/>
      </c>
    </row>
    <row r="426" spans="1:14" hidden="1" x14ac:dyDescent="0.2">
      <c r="A426" t="s">
        <v>463</v>
      </c>
      <c r="B426" t="s">
        <v>40</v>
      </c>
      <c r="C426" t="s">
        <v>16</v>
      </c>
      <c r="D426" t="s">
        <v>31</v>
      </c>
      <c r="H426">
        <v>1</v>
      </c>
      <c r="I426" t="s">
        <v>21</v>
      </c>
      <c r="J426" t="s">
        <v>22</v>
      </c>
      <c r="N426" t="str">
        <f ca="1">IFERROR(_xludf.XLOOKUP($F426&amp;"."&amp;$G426,CaseSource!$A$2:$A$371,CaseSource!$B$2:$B$371,""),"")</f>
        <v/>
      </c>
    </row>
    <row r="427" spans="1:14" hidden="1" x14ac:dyDescent="0.2">
      <c r="A427" t="s">
        <v>464</v>
      </c>
      <c r="B427" t="s">
        <v>40</v>
      </c>
      <c r="C427" t="s">
        <v>465</v>
      </c>
      <c r="D427" t="s">
        <v>31</v>
      </c>
      <c r="H427">
        <v>1</v>
      </c>
      <c r="I427" t="s">
        <v>21</v>
      </c>
      <c r="J427" t="s">
        <v>22</v>
      </c>
      <c r="N427" t="str">
        <f ca="1">IFERROR(_xludf.XLOOKUP($F427&amp;"."&amp;$G427,CaseSource!$A$2:$A$371,CaseSource!$B$2:$B$371,""),"")</f>
        <v/>
      </c>
    </row>
    <row r="428" spans="1:14" hidden="1" x14ac:dyDescent="0.2">
      <c r="A428" t="s">
        <v>466</v>
      </c>
      <c r="B428" t="s">
        <v>40</v>
      </c>
      <c r="C428" t="s">
        <v>465</v>
      </c>
      <c r="D428" t="s">
        <v>31</v>
      </c>
      <c r="H428">
        <v>1</v>
      </c>
      <c r="I428" t="s">
        <v>21</v>
      </c>
      <c r="J428" t="s">
        <v>22</v>
      </c>
      <c r="N428" t="str">
        <f ca="1">IFERROR(_xludf.XLOOKUP($F428&amp;"."&amp;$G428,CaseSource!$A$2:$A$371,CaseSource!$B$2:$B$371,""),"")</f>
        <v/>
      </c>
    </row>
    <row r="429" spans="1:14" hidden="1" x14ac:dyDescent="0.2">
      <c r="A429" t="s">
        <v>471</v>
      </c>
      <c r="B429" t="s">
        <v>40</v>
      </c>
      <c r="C429" t="s">
        <v>465</v>
      </c>
      <c r="D429" t="s">
        <v>31</v>
      </c>
      <c r="H429">
        <v>1</v>
      </c>
      <c r="I429" t="s">
        <v>21</v>
      </c>
      <c r="J429" t="s">
        <v>22</v>
      </c>
      <c r="N429" t="str">
        <f ca="1">IFERROR(_xludf.XLOOKUP($F429&amp;"."&amp;$G429,CaseSource!$A$2:$A$371,CaseSource!$B$2:$B$371,""),"")</f>
        <v/>
      </c>
    </row>
    <row r="430" spans="1:14" hidden="1" x14ac:dyDescent="0.2">
      <c r="A430" t="s">
        <v>472</v>
      </c>
      <c r="B430" t="s">
        <v>40</v>
      </c>
      <c r="C430" t="s">
        <v>465</v>
      </c>
      <c r="D430" t="s">
        <v>31</v>
      </c>
      <c r="H430">
        <v>1</v>
      </c>
      <c r="I430" t="s">
        <v>21</v>
      </c>
      <c r="J430" t="s">
        <v>22</v>
      </c>
      <c r="N430" t="str">
        <f ca="1">IFERROR(_xludf.XLOOKUP($F430&amp;"."&amp;$G430,CaseSource!$A$2:$A$371,CaseSource!$B$2:$B$371,""),"")</f>
        <v/>
      </c>
    </row>
    <row r="431" spans="1:14" hidden="1" x14ac:dyDescent="0.2">
      <c r="A431" t="s">
        <v>545</v>
      </c>
      <c r="B431" t="s">
        <v>40</v>
      </c>
      <c r="C431" t="s">
        <v>16</v>
      </c>
      <c r="D431" t="s">
        <v>31</v>
      </c>
      <c r="H431">
        <v>1</v>
      </c>
      <c r="I431" t="s">
        <v>21</v>
      </c>
      <c r="J431" t="s">
        <v>22</v>
      </c>
      <c r="N431" t="str">
        <f ca="1">IFERROR(_xludf.XLOOKUP($F431&amp;"."&amp;$G431,CaseSource!$A$2:$A$371,CaseSource!$B$2:$B$371,""),"")</f>
        <v/>
      </c>
    </row>
    <row r="432" spans="1:14" hidden="1" x14ac:dyDescent="0.2">
      <c r="A432" t="s">
        <v>548</v>
      </c>
      <c r="B432" t="s">
        <v>40</v>
      </c>
      <c r="C432" t="s">
        <v>16</v>
      </c>
      <c r="D432" t="s">
        <v>31</v>
      </c>
      <c r="H432">
        <v>1</v>
      </c>
      <c r="I432" t="s">
        <v>21</v>
      </c>
      <c r="J432" t="s">
        <v>22</v>
      </c>
      <c r="N432" t="str">
        <f ca="1">IFERROR(_xludf.XLOOKUP($F432&amp;"."&amp;$G432,CaseSource!$A$2:$A$371,CaseSource!$B$2:$B$371,""),"")</f>
        <v/>
      </c>
    </row>
    <row r="433" spans="1:14" hidden="1" x14ac:dyDescent="0.2">
      <c r="A433" t="s">
        <v>553</v>
      </c>
      <c r="B433" t="s">
        <v>40</v>
      </c>
      <c r="C433" t="s">
        <v>16</v>
      </c>
      <c r="D433" t="s">
        <v>31</v>
      </c>
      <c r="H433">
        <v>1</v>
      </c>
      <c r="I433" t="s">
        <v>21</v>
      </c>
      <c r="J433" t="s">
        <v>22</v>
      </c>
      <c r="N433" t="str">
        <f ca="1">IFERROR(_xludf.XLOOKUP($F433&amp;"."&amp;$G433,CaseSource!$A$2:$A$371,CaseSource!$B$2:$B$371,""),"")</f>
        <v/>
      </c>
    </row>
    <row r="434" spans="1:14" hidden="1" x14ac:dyDescent="0.2">
      <c r="A434" t="s">
        <v>571</v>
      </c>
      <c r="B434" t="s">
        <v>40</v>
      </c>
      <c r="C434" t="s">
        <v>16</v>
      </c>
      <c r="D434" t="s">
        <v>31</v>
      </c>
      <c r="H434">
        <v>1</v>
      </c>
      <c r="I434" t="s">
        <v>21</v>
      </c>
      <c r="J434" t="s">
        <v>22</v>
      </c>
      <c r="N434" t="str">
        <f ca="1">IFERROR(_xludf.XLOOKUP($F434&amp;"."&amp;$G434,CaseSource!$A$2:$A$371,CaseSource!$B$2:$B$371,""),"")</f>
        <v/>
      </c>
    </row>
    <row r="435" spans="1:14" hidden="1" x14ac:dyDescent="0.2">
      <c r="A435" t="s">
        <v>584</v>
      </c>
      <c r="B435" t="s">
        <v>40</v>
      </c>
      <c r="C435" t="s">
        <v>228</v>
      </c>
      <c r="D435" t="s">
        <v>31</v>
      </c>
      <c r="H435">
        <v>1</v>
      </c>
      <c r="I435" t="s">
        <v>21</v>
      </c>
      <c r="J435" t="s">
        <v>22</v>
      </c>
      <c r="N435" t="str">
        <f ca="1">IFERROR(_xludf.XLOOKUP($F435&amp;"."&amp;$G435,CaseSource!$A$2:$A$371,CaseSource!$B$2:$B$371,""),"")</f>
        <v/>
      </c>
    </row>
    <row r="436" spans="1:14" hidden="1" x14ac:dyDescent="0.2">
      <c r="A436" t="s">
        <v>592</v>
      </c>
      <c r="B436" t="s">
        <v>40</v>
      </c>
      <c r="C436" t="s">
        <v>16</v>
      </c>
      <c r="D436" t="s">
        <v>31</v>
      </c>
      <c r="H436">
        <v>1</v>
      </c>
      <c r="I436" t="s">
        <v>21</v>
      </c>
      <c r="J436" t="s">
        <v>22</v>
      </c>
      <c r="N436" t="str">
        <f ca="1">IFERROR(_xludf.XLOOKUP($F436&amp;"."&amp;$G436,CaseSource!$A$2:$A$371,CaseSource!$B$2:$B$371,""),"")</f>
        <v/>
      </c>
    </row>
    <row r="437" spans="1:14" hidden="1" x14ac:dyDescent="0.2">
      <c r="A437" t="s">
        <v>594</v>
      </c>
      <c r="B437" t="s">
        <v>40</v>
      </c>
      <c r="C437" t="s">
        <v>228</v>
      </c>
      <c r="D437" t="s">
        <v>31</v>
      </c>
      <c r="H437">
        <v>1</v>
      </c>
      <c r="I437" t="s">
        <v>21</v>
      </c>
      <c r="J437" t="s">
        <v>22</v>
      </c>
      <c r="N437" t="str">
        <f ca="1">IFERROR(_xludf.XLOOKUP($F437&amp;"."&amp;$G437,CaseSource!$A$2:$A$371,CaseSource!$B$2:$B$371,""),"")</f>
        <v/>
      </c>
    </row>
    <row r="438" spans="1:14" hidden="1" x14ac:dyDescent="0.2">
      <c r="A438" t="s">
        <v>602</v>
      </c>
      <c r="B438" t="s">
        <v>40</v>
      </c>
      <c r="C438" t="s">
        <v>465</v>
      </c>
      <c r="D438" t="s">
        <v>31</v>
      </c>
      <c r="H438">
        <v>1</v>
      </c>
      <c r="I438" t="s">
        <v>21</v>
      </c>
      <c r="J438" t="s">
        <v>22</v>
      </c>
      <c r="N438" t="str">
        <f ca="1">IFERROR(_xludf.XLOOKUP($F438&amp;"."&amp;$G438,CaseSource!$A$2:$A$371,CaseSource!$B$2:$B$371,""),"")</f>
        <v/>
      </c>
    </row>
    <row r="439" spans="1:14" hidden="1" x14ac:dyDescent="0.2">
      <c r="A439" t="s">
        <v>617</v>
      </c>
      <c r="B439" t="s">
        <v>40</v>
      </c>
      <c r="C439" t="s">
        <v>16</v>
      </c>
      <c r="D439" t="s">
        <v>31</v>
      </c>
      <c r="H439">
        <v>1</v>
      </c>
      <c r="I439" t="s">
        <v>21</v>
      </c>
      <c r="J439" t="s">
        <v>22</v>
      </c>
      <c r="N439" t="str">
        <f ca="1">IFERROR(_xludf.XLOOKUP($F439&amp;"."&amp;$G439,CaseSource!$A$2:$A$371,CaseSource!$B$2:$B$371,""),"")</f>
        <v/>
      </c>
    </row>
    <row r="440" spans="1:14" hidden="1" x14ac:dyDescent="0.2">
      <c r="A440" t="s">
        <v>618</v>
      </c>
      <c r="B440" t="s">
        <v>40</v>
      </c>
      <c r="C440" t="s">
        <v>16</v>
      </c>
      <c r="D440" t="s">
        <v>31</v>
      </c>
      <c r="H440">
        <v>1</v>
      </c>
      <c r="I440" t="s">
        <v>21</v>
      </c>
      <c r="J440" t="s">
        <v>22</v>
      </c>
      <c r="N440" t="str">
        <f ca="1">IFERROR(_xludf.XLOOKUP($F440&amp;"."&amp;$G440,CaseSource!$A$2:$A$371,CaseSource!$B$2:$B$371,""),"")</f>
        <v/>
      </c>
    </row>
    <row r="441" spans="1:14" hidden="1" x14ac:dyDescent="0.2">
      <c r="A441" t="s">
        <v>621</v>
      </c>
      <c r="B441" t="s">
        <v>40</v>
      </c>
      <c r="C441" t="s">
        <v>16</v>
      </c>
      <c r="D441" t="s">
        <v>31</v>
      </c>
      <c r="H441">
        <v>1</v>
      </c>
      <c r="I441" t="s">
        <v>21</v>
      </c>
      <c r="J441" t="s">
        <v>22</v>
      </c>
      <c r="N441" t="str">
        <f ca="1">IFERROR(_xludf.XLOOKUP($F441&amp;"."&amp;$G441,CaseSource!$A$2:$A$371,CaseSource!$B$2:$B$371,""),"")</f>
        <v/>
      </c>
    </row>
    <row r="442" spans="1:14" hidden="1" x14ac:dyDescent="0.2">
      <c r="A442" t="s">
        <v>70</v>
      </c>
      <c r="D442" t="s">
        <v>31</v>
      </c>
      <c r="F442" t="s">
        <v>24</v>
      </c>
      <c r="G442" t="s">
        <v>71</v>
      </c>
      <c r="H442">
        <v>1</v>
      </c>
      <c r="I442" t="s">
        <v>21</v>
      </c>
      <c r="J442" t="s">
        <v>22</v>
      </c>
      <c r="K442" t="s">
        <v>72</v>
      </c>
      <c r="N442" t="str">
        <f ca="1">IFERROR(_xludf.XLOOKUP($F442&amp;"."&amp;$G442,CaseSource!$A$2:$A$371,CaseSource!$B$2:$B$371,""),"")</f>
        <v/>
      </c>
    </row>
    <row r="443" spans="1:14" hidden="1" x14ac:dyDescent="0.2">
      <c r="A443" t="s">
        <v>70</v>
      </c>
      <c r="D443" t="s">
        <v>31</v>
      </c>
      <c r="F443" t="s">
        <v>61</v>
      </c>
      <c r="G443" t="s">
        <v>73</v>
      </c>
      <c r="H443">
        <v>2</v>
      </c>
      <c r="I443" t="s">
        <v>21</v>
      </c>
      <c r="J443" t="s">
        <v>22</v>
      </c>
      <c r="K443" t="s">
        <v>72</v>
      </c>
      <c r="N443" t="str">
        <f ca="1">IFERROR(_xludf.XLOOKUP($F443&amp;"."&amp;$G443,CaseSource!$A$2:$A$371,CaseSource!$B$2:$B$371,""),"")</f>
        <v/>
      </c>
    </row>
    <row r="444" spans="1:14" hidden="1" x14ac:dyDescent="0.2">
      <c r="A444" t="s">
        <v>70</v>
      </c>
      <c r="D444" t="s">
        <v>31</v>
      </c>
      <c r="F444" t="s">
        <v>61</v>
      </c>
      <c r="G444" t="s">
        <v>62</v>
      </c>
      <c r="H444">
        <v>3</v>
      </c>
      <c r="I444" t="s">
        <v>21</v>
      </c>
      <c r="J444" t="s">
        <v>22</v>
      </c>
      <c r="K444" t="s">
        <v>72</v>
      </c>
      <c r="N444" t="str">
        <f ca="1">IFERROR(_xludf.XLOOKUP($F444&amp;"."&amp;$G444,CaseSource!$A$2:$A$371,CaseSource!$B$2:$B$371,""),"")</f>
        <v/>
      </c>
    </row>
    <row r="445" spans="1:14" hidden="1" x14ac:dyDescent="0.2">
      <c r="A445" t="s">
        <v>70</v>
      </c>
      <c r="D445" t="s">
        <v>31</v>
      </c>
      <c r="F445" t="s">
        <v>24</v>
      </c>
      <c r="G445" t="s">
        <v>59</v>
      </c>
      <c r="H445">
        <v>4</v>
      </c>
      <c r="I445" t="s">
        <v>21</v>
      </c>
      <c r="J445" t="s">
        <v>22</v>
      </c>
      <c r="K445" t="s">
        <v>72</v>
      </c>
      <c r="N445" t="str">
        <f ca="1">IFERROR(_xludf.XLOOKUP($F445&amp;"."&amp;$G445,CaseSource!$A$2:$A$371,CaseSource!$B$2:$B$371,""),"")</f>
        <v/>
      </c>
    </row>
    <row r="446" spans="1:14" hidden="1" x14ac:dyDescent="0.2">
      <c r="A446" t="s">
        <v>151</v>
      </c>
      <c r="D446" t="s">
        <v>31</v>
      </c>
      <c r="F446" t="s">
        <v>24</v>
      </c>
      <c r="G446" t="s">
        <v>152</v>
      </c>
      <c r="H446">
        <v>1</v>
      </c>
      <c r="I446" t="s">
        <v>21</v>
      </c>
      <c r="J446" t="s">
        <v>22</v>
      </c>
      <c r="K446" t="s">
        <v>126</v>
      </c>
      <c r="N446" t="str">
        <f ca="1">IFERROR(_xludf.XLOOKUP($F446&amp;"."&amp;$G446,CaseSource!$A$2:$A$371,CaseSource!$B$2:$B$371,""),"")</f>
        <v/>
      </c>
    </row>
    <row r="447" spans="1:14" hidden="1" x14ac:dyDescent="0.2">
      <c r="A447" t="s">
        <v>199</v>
      </c>
      <c r="D447" t="s">
        <v>31</v>
      </c>
      <c r="F447" t="s">
        <v>24</v>
      </c>
      <c r="G447" t="s">
        <v>200</v>
      </c>
      <c r="H447">
        <v>1</v>
      </c>
      <c r="I447" t="s">
        <v>21</v>
      </c>
      <c r="J447" t="s">
        <v>22</v>
      </c>
      <c r="K447" t="s">
        <v>201</v>
      </c>
      <c r="N447" t="str">
        <f ca="1">IFERROR(_xludf.XLOOKUP($F447&amp;"."&amp;$G447,CaseSource!$A$2:$A$371,CaseSource!$B$2:$B$371,""),"")</f>
        <v/>
      </c>
    </row>
    <row r="448" spans="1:14" hidden="1" x14ac:dyDescent="0.2">
      <c r="A448" t="s">
        <v>202</v>
      </c>
      <c r="D448" t="s">
        <v>31</v>
      </c>
      <c r="F448" t="s">
        <v>24</v>
      </c>
      <c r="G448" t="s">
        <v>203</v>
      </c>
      <c r="H448">
        <v>1</v>
      </c>
      <c r="I448" t="s">
        <v>21</v>
      </c>
      <c r="J448" t="s">
        <v>22</v>
      </c>
      <c r="K448" t="s">
        <v>204</v>
      </c>
      <c r="N448" t="str">
        <f ca="1">IFERROR(_xludf.XLOOKUP($F448&amp;"."&amp;$G448,CaseSource!$A$2:$A$371,CaseSource!$B$2:$B$371,""),"")</f>
        <v/>
      </c>
    </row>
    <row r="449" spans="1:14" hidden="1" x14ac:dyDescent="0.2">
      <c r="A449" t="s">
        <v>205</v>
      </c>
      <c r="D449" t="s">
        <v>31</v>
      </c>
      <c r="F449" t="s">
        <v>206</v>
      </c>
      <c r="G449" t="s">
        <v>207</v>
      </c>
      <c r="H449">
        <v>1</v>
      </c>
      <c r="I449" t="s">
        <v>21</v>
      </c>
      <c r="J449" t="s">
        <v>22</v>
      </c>
      <c r="K449" t="s">
        <v>208</v>
      </c>
      <c r="N449" t="str">
        <f ca="1">IFERROR(_xludf.XLOOKUP($F449&amp;"."&amp;$G449,CaseSource!$A$2:$A$371,CaseSource!$B$2:$B$371,""),"")</f>
        <v/>
      </c>
    </row>
    <row r="450" spans="1:14" hidden="1" x14ac:dyDescent="0.2">
      <c r="A450" t="s">
        <v>209</v>
      </c>
      <c r="D450" t="s">
        <v>31</v>
      </c>
      <c r="F450" t="s">
        <v>206</v>
      </c>
      <c r="G450" t="s">
        <v>210</v>
      </c>
      <c r="H450">
        <v>1</v>
      </c>
      <c r="I450" t="s">
        <v>21</v>
      </c>
      <c r="J450" t="s">
        <v>22</v>
      </c>
      <c r="K450" t="s">
        <v>208</v>
      </c>
      <c r="N450" t="str">
        <f ca="1">IFERROR(_xludf.XLOOKUP($F450&amp;"."&amp;$G450,CaseSource!$A$2:$A$371,CaseSource!$B$2:$B$371,""),"")</f>
        <v/>
      </c>
    </row>
    <row r="451" spans="1:14" hidden="1" x14ac:dyDescent="0.2">
      <c r="A451" t="s">
        <v>242</v>
      </c>
      <c r="D451" t="s">
        <v>31</v>
      </c>
      <c r="F451" t="s">
        <v>19</v>
      </c>
      <c r="G451" t="s">
        <v>37</v>
      </c>
      <c r="H451">
        <v>1</v>
      </c>
      <c r="I451" t="s">
        <v>21</v>
      </c>
      <c r="J451" t="s">
        <v>22</v>
      </c>
      <c r="K451" t="s">
        <v>243</v>
      </c>
      <c r="N451" t="str">
        <f ca="1">IFERROR(_xludf.XLOOKUP($F451&amp;"."&amp;$G451,CaseSource!$A$2:$A$371,CaseSource!$B$2:$B$371,""),"")</f>
        <v/>
      </c>
    </row>
    <row r="452" spans="1:14" hidden="1" x14ac:dyDescent="0.2">
      <c r="A452" t="s">
        <v>242</v>
      </c>
      <c r="D452" t="s">
        <v>31</v>
      </c>
      <c r="F452" t="s">
        <v>24</v>
      </c>
      <c r="G452" t="s">
        <v>38</v>
      </c>
      <c r="H452">
        <v>2</v>
      </c>
      <c r="I452" t="s">
        <v>21</v>
      </c>
      <c r="J452" t="s">
        <v>22</v>
      </c>
      <c r="K452" t="s">
        <v>243</v>
      </c>
      <c r="N452" t="str">
        <f ca="1">IFERROR(_xludf.XLOOKUP($F452&amp;"."&amp;$G452,CaseSource!$A$2:$A$371,CaseSource!$B$2:$B$371,""),"")</f>
        <v/>
      </c>
    </row>
    <row r="453" spans="1:14" hidden="1" x14ac:dyDescent="0.2">
      <c r="A453" t="s">
        <v>244</v>
      </c>
      <c r="D453" t="s">
        <v>31</v>
      </c>
      <c r="F453" t="s">
        <v>19</v>
      </c>
      <c r="G453" t="s">
        <v>33</v>
      </c>
      <c r="H453">
        <v>1</v>
      </c>
      <c r="I453" t="s">
        <v>21</v>
      </c>
      <c r="J453" t="s">
        <v>22</v>
      </c>
      <c r="K453" t="s">
        <v>126</v>
      </c>
      <c r="N453" t="str">
        <f ca="1">IFERROR(_xludf.XLOOKUP($F453&amp;"."&amp;$G453,CaseSource!$A$2:$A$371,CaseSource!$B$2:$B$371,""),"")</f>
        <v/>
      </c>
    </row>
    <row r="454" spans="1:14" hidden="1" x14ac:dyDescent="0.2">
      <c r="A454" t="s">
        <v>244</v>
      </c>
      <c r="D454" t="s">
        <v>31</v>
      </c>
      <c r="F454" t="s">
        <v>24</v>
      </c>
      <c r="G454" t="s">
        <v>36</v>
      </c>
      <c r="H454">
        <v>2</v>
      </c>
      <c r="I454" t="s">
        <v>21</v>
      </c>
      <c r="J454" t="s">
        <v>22</v>
      </c>
      <c r="K454" t="s">
        <v>126</v>
      </c>
      <c r="N454" t="str">
        <f ca="1">IFERROR(_xludf.XLOOKUP($F454&amp;"."&amp;$G454,CaseSource!$A$2:$A$371,CaseSource!$B$2:$B$371,""),"")</f>
        <v/>
      </c>
    </row>
    <row r="455" spans="1:14" hidden="1" x14ac:dyDescent="0.2">
      <c r="A455" t="s">
        <v>245</v>
      </c>
      <c r="D455" t="s">
        <v>31</v>
      </c>
      <c r="F455" t="s">
        <v>19</v>
      </c>
      <c r="G455" t="s">
        <v>246</v>
      </c>
      <c r="H455">
        <v>1</v>
      </c>
      <c r="I455" t="s">
        <v>21</v>
      </c>
      <c r="J455" t="s">
        <v>22</v>
      </c>
      <c r="K455" t="s">
        <v>126</v>
      </c>
      <c r="N455" t="str">
        <f ca="1">IFERROR(_xludf.XLOOKUP($F455&amp;"."&amp;$G455,CaseSource!$A$2:$A$371,CaseSource!$B$2:$B$371,""),"")</f>
        <v/>
      </c>
    </row>
    <row r="456" spans="1:14" hidden="1" x14ac:dyDescent="0.2">
      <c r="A456" t="s">
        <v>247</v>
      </c>
      <c r="D456" t="s">
        <v>31</v>
      </c>
      <c r="F456" t="s">
        <v>19</v>
      </c>
      <c r="G456" t="s">
        <v>136</v>
      </c>
      <c r="H456">
        <v>1</v>
      </c>
      <c r="I456" t="s">
        <v>21</v>
      </c>
      <c r="J456" t="s">
        <v>22</v>
      </c>
      <c r="K456" t="s">
        <v>126</v>
      </c>
      <c r="N456" t="str">
        <f ca="1">IFERROR(_xludf.XLOOKUP($F456&amp;"."&amp;$G456,CaseSource!$A$2:$A$371,CaseSource!$B$2:$B$371,""),"")</f>
        <v/>
      </c>
    </row>
    <row r="457" spans="1:14" hidden="1" x14ac:dyDescent="0.2">
      <c r="A457" t="s">
        <v>247</v>
      </c>
      <c r="D457" t="s">
        <v>31</v>
      </c>
      <c r="F457" t="s">
        <v>24</v>
      </c>
      <c r="G457" t="s">
        <v>138</v>
      </c>
      <c r="H457">
        <v>2</v>
      </c>
      <c r="I457" t="s">
        <v>21</v>
      </c>
      <c r="J457" t="s">
        <v>22</v>
      </c>
      <c r="K457" t="s">
        <v>126</v>
      </c>
      <c r="N457" t="str">
        <f ca="1">IFERROR(_xludf.XLOOKUP($F457&amp;"."&amp;$G457,CaseSource!$A$2:$A$371,CaseSource!$B$2:$B$371,""),"")</f>
        <v/>
      </c>
    </row>
    <row r="458" spans="1:14" hidden="1" x14ac:dyDescent="0.2">
      <c r="A458" t="s">
        <v>253</v>
      </c>
      <c r="D458" t="s">
        <v>31</v>
      </c>
      <c r="F458" t="s">
        <v>19</v>
      </c>
      <c r="G458" t="s">
        <v>42</v>
      </c>
      <c r="H458">
        <v>1</v>
      </c>
      <c r="I458" t="s">
        <v>21</v>
      </c>
      <c r="J458" t="s">
        <v>22</v>
      </c>
      <c r="K458" t="s">
        <v>235</v>
      </c>
      <c r="N458" t="str">
        <f ca="1">IFERROR(_xludf.XLOOKUP($F458&amp;"."&amp;$G458,CaseSource!$A$2:$A$371,CaseSource!$B$2:$B$371,""),"")</f>
        <v/>
      </c>
    </row>
    <row r="459" spans="1:14" hidden="1" x14ac:dyDescent="0.2">
      <c r="A459" t="s">
        <v>253</v>
      </c>
      <c r="D459" t="s">
        <v>31</v>
      </c>
      <c r="F459" t="s">
        <v>44</v>
      </c>
      <c r="G459" t="s">
        <v>42</v>
      </c>
      <c r="H459">
        <v>2</v>
      </c>
      <c r="I459" t="s">
        <v>21</v>
      </c>
      <c r="J459" t="s">
        <v>22</v>
      </c>
      <c r="K459" t="s">
        <v>235</v>
      </c>
      <c r="N459" t="str">
        <f ca="1">IFERROR(_xludf.XLOOKUP($F459&amp;"."&amp;$G459,CaseSource!$A$2:$A$371,CaseSource!$B$2:$B$371,""),"")</f>
        <v/>
      </c>
    </row>
    <row r="460" spans="1:14" hidden="1" x14ac:dyDescent="0.2">
      <c r="A460" t="s">
        <v>258</v>
      </c>
      <c r="D460" t="s">
        <v>31</v>
      </c>
      <c r="F460" t="s">
        <v>19</v>
      </c>
      <c r="G460" t="s">
        <v>259</v>
      </c>
      <c r="H460">
        <v>1</v>
      </c>
      <c r="I460" t="s">
        <v>21</v>
      </c>
      <c r="J460" t="s">
        <v>22</v>
      </c>
      <c r="K460" t="s">
        <v>260</v>
      </c>
      <c r="N460" t="str">
        <f ca="1">IFERROR(_xludf.XLOOKUP($F460&amp;"."&amp;$G460,CaseSource!$A$2:$A$371,CaseSource!$B$2:$B$371,""),"")</f>
        <v/>
      </c>
    </row>
    <row r="461" spans="1:14" hidden="1" x14ac:dyDescent="0.2">
      <c r="A461" t="s">
        <v>334</v>
      </c>
      <c r="D461" t="s">
        <v>31</v>
      </c>
      <c r="F461" t="s">
        <v>24</v>
      </c>
      <c r="G461" t="s">
        <v>194</v>
      </c>
      <c r="H461">
        <v>1</v>
      </c>
      <c r="I461" t="s">
        <v>21</v>
      </c>
      <c r="J461" t="s">
        <v>22</v>
      </c>
      <c r="K461" t="s">
        <v>126</v>
      </c>
      <c r="N461" t="str">
        <f ca="1">IFERROR(_xludf.XLOOKUP($F461&amp;"."&amp;$G461,CaseSource!$A$2:$A$371,CaseSource!$B$2:$B$371,""),"")</f>
        <v/>
      </c>
    </row>
  </sheetData>
  <autoFilter ref="A1:N461" xr:uid="{00000000-0001-0000-0000-000000000000}">
    <filterColumn colId="1">
      <filters>
        <filter val="Profile"/>
      </filters>
    </filterColumn>
    <sortState xmlns:xlrd2="http://schemas.microsoft.com/office/spreadsheetml/2017/richdata2" ref="A2:N461">
      <sortCondition ref="B1:B461"/>
    </sortState>
  </autoFilter>
  <dataValidations count="2">
    <dataValidation type="list" allowBlank="1" sqref="F2:F5000" xr:uid="{00000000-0002-0000-0000-000000000000}">
      <formula1>LegacyFiles</formula1>
    </dataValidation>
    <dataValidation type="list" allowBlank="1" sqref="G2:G5000" xr:uid="{00000000-0002-0000-0000-000001000000}">
      <formula1>INDIRECT(SUBSTITUTE(SUBSTITUTE($F2,".json","")," 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7"/>
  <sheetViews>
    <sheetView workbookViewId="0"/>
  </sheetViews>
  <sheetFormatPr baseColWidth="10" defaultColWidth="8.83203125" defaultRowHeight="15" x14ac:dyDescent="0.2"/>
  <cols>
    <col min="1" max="1" width="35" customWidth="1"/>
    <col min="2" max="2" width="12" customWidth="1"/>
    <col min="3" max="3" width="17" customWidth="1"/>
    <col min="4" max="4" width="33" customWidth="1"/>
    <col min="5" max="5" width="56" customWidth="1"/>
    <col min="6" max="7" width="60" customWidth="1"/>
  </cols>
  <sheetData>
    <row r="1" spans="1:7" x14ac:dyDescent="0.2">
      <c r="A1" s="1" t="s">
        <v>0</v>
      </c>
      <c r="B1" s="1" t="s">
        <v>632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633</v>
      </c>
    </row>
    <row r="2" spans="1:7" x14ac:dyDescent="0.2">
      <c r="A2" t="s">
        <v>355</v>
      </c>
      <c r="B2" t="s">
        <v>634</v>
      </c>
      <c r="C2" t="s">
        <v>130</v>
      </c>
      <c r="D2" t="s">
        <v>356</v>
      </c>
      <c r="E2" t="s">
        <v>31</v>
      </c>
      <c r="G2" t="s">
        <v>635</v>
      </c>
    </row>
    <row r="3" spans="1:7" x14ac:dyDescent="0.2">
      <c r="A3" t="s">
        <v>357</v>
      </c>
      <c r="B3" t="s">
        <v>634</v>
      </c>
      <c r="C3" t="s">
        <v>79</v>
      </c>
      <c r="D3" t="s">
        <v>80</v>
      </c>
      <c r="E3" t="s">
        <v>31</v>
      </c>
      <c r="G3" t="s">
        <v>636</v>
      </c>
    </row>
    <row r="4" spans="1:7" x14ac:dyDescent="0.2">
      <c r="A4" t="s">
        <v>358</v>
      </c>
      <c r="B4" t="s">
        <v>637</v>
      </c>
      <c r="C4" t="s">
        <v>87</v>
      </c>
      <c r="D4" t="s">
        <v>120</v>
      </c>
      <c r="E4" t="s">
        <v>31</v>
      </c>
      <c r="G4" t="s">
        <v>638</v>
      </c>
    </row>
    <row r="5" spans="1:7" x14ac:dyDescent="0.2">
      <c r="A5" t="s">
        <v>145</v>
      </c>
      <c r="B5" t="s">
        <v>637</v>
      </c>
      <c r="C5" t="s">
        <v>87</v>
      </c>
      <c r="D5" t="s">
        <v>146</v>
      </c>
      <c r="E5" t="s">
        <v>31</v>
      </c>
      <c r="G5" t="s">
        <v>639</v>
      </c>
    </row>
    <row r="6" spans="1:7" x14ac:dyDescent="0.2">
      <c r="A6" t="s">
        <v>359</v>
      </c>
      <c r="B6" t="s">
        <v>637</v>
      </c>
      <c r="C6" t="s">
        <v>87</v>
      </c>
      <c r="D6" t="s">
        <v>154</v>
      </c>
      <c r="E6" t="s">
        <v>31</v>
      </c>
      <c r="G6" t="s">
        <v>640</v>
      </c>
    </row>
    <row r="7" spans="1:7" x14ac:dyDescent="0.2">
      <c r="A7" t="s">
        <v>360</v>
      </c>
      <c r="B7" t="s">
        <v>634</v>
      </c>
      <c r="C7" t="s">
        <v>87</v>
      </c>
      <c r="D7" t="s">
        <v>154</v>
      </c>
      <c r="E7" t="s">
        <v>31</v>
      </c>
      <c r="G7" t="s">
        <v>640</v>
      </c>
    </row>
    <row r="8" spans="1:7" x14ac:dyDescent="0.2">
      <c r="A8" t="s">
        <v>361</v>
      </c>
      <c r="B8" t="s">
        <v>634</v>
      </c>
      <c r="C8" t="s">
        <v>130</v>
      </c>
      <c r="D8" t="s">
        <v>356</v>
      </c>
      <c r="E8" t="s">
        <v>31</v>
      </c>
      <c r="G8" t="s">
        <v>635</v>
      </c>
    </row>
    <row r="9" spans="1:7" x14ac:dyDescent="0.2">
      <c r="A9" t="s">
        <v>180</v>
      </c>
      <c r="B9" t="s">
        <v>641</v>
      </c>
      <c r="C9" t="s">
        <v>87</v>
      </c>
      <c r="D9" t="s">
        <v>96</v>
      </c>
      <c r="E9" t="s">
        <v>31</v>
      </c>
      <c r="G9" t="s">
        <v>642</v>
      </c>
    </row>
    <row r="10" spans="1:7" x14ac:dyDescent="0.2">
      <c r="A10" t="s">
        <v>362</v>
      </c>
      <c r="B10" t="s">
        <v>641</v>
      </c>
      <c r="C10" t="s">
        <v>87</v>
      </c>
      <c r="D10" t="s">
        <v>96</v>
      </c>
      <c r="E10" t="s">
        <v>31</v>
      </c>
      <c r="G10" t="s">
        <v>642</v>
      </c>
    </row>
    <row r="11" spans="1:7" x14ac:dyDescent="0.2">
      <c r="A11" t="s">
        <v>363</v>
      </c>
      <c r="B11" t="s">
        <v>637</v>
      </c>
      <c r="C11" t="s">
        <v>87</v>
      </c>
      <c r="D11" t="s">
        <v>96</v>
      </c>
      <c r="E11" t="s">
        <v>31</v>
      </c>
      <c r="G11" t="s">
        <v>642</v>
      </c>
    </row>
    <row r="12" spans="1:7" x14ac:dyDescent="0.2">
      <c r="A12" t="s">
        <v>364</v>
      </c>
      <c r="B12" t="s">
        <v>637</v>
      </c>
      <c r="C12" t="s">
        <v>87</v>
      </c>
      <c r="D12" t="s">
        <v>107</v>
      </c>
      <c r="E12" t="s">
        <v>31</v>
      </c>
      <c r="G12" t="s">
        <v>643</v>
      </c>
    </row>
    <row r="13" spans="1:7" x14ac:dyDescent="0.2">
      <c r="A13" t="s">
        <v>53</v>
      </c>
      <c r="B13" t="s">
        <v>634</v>
      </c>
      <c r="C13" t="s">
        <v>15</v>
      </c>
      <c r="D13" t="s">
        <v>54</v>
      </c>
      <c r="E13" t="s">
        <v>31</v>
      </c>
      <c r="F13" t="s">
        <v>55</v>
      </c>
      <c r="G13" t="s">
        <v>644</v>
      </c>
    </row>
    <row r="14" spans="1:7" x14ac:dyDescent="0.2">
      <c r="A14" t="s">
        <v>248</v>
      </c>
      <c r="B14" t="s">
        <v>634</v>
      </c>
      <c r="C14" t="s">
        <v>249</v>
      </c>
      <c r="D14" t="s">
        <v>16</v>
      </c>
      <c r="E14" t="s">
        <v>250</v>
      </c>
      <c r="F14" t="s">
        <v>251</v>
      </c>
      <c r="G14" t="s">
        <v>645</v>
      </c>
    </row>
    <row r="15" spans="1:7" x14ac:dyDescent="0.2">
      <c r="A15" t="s">
        <v>365</v>
      </c>
      <c r="B15" t="s">
        <v>634</v>
      </c>
      <c r="C15" t="s">
        <v>249</v>
      </c>
      <c r="D15" t="s">
        <v>16</v>
      </c>
      <c r="E15" t="s">
        <v>31</v>
      </c>
      <c r="G15" t="s">
        <v>645</v>
      </c>
    </row>
    <row r="16" spans="1:7" x14ac:dyDescent="0.2">
      <c r="A16" t="s">
        <v>366</v>
      </c>
      <c r="B16" t="s">
        <v>634</v>
      </c>
      <c r="C16" t="s">
        <v>249</v>
      </c>
      <c r="D16" t="s">
        <v>16</v>
      </c>
      <c r="E16" t="s">
        <v>31</v>
      </c>
      <c r="G16" t="s">
        <v>646</v>
      </c>
    </row>
    <row r="17" spans="1:7" x14ac:dyDescent="0.2">
      <c r="A17" t="s">
        <v>367</v>
      </c>
      <c r="B17" t="s">
        <v>634</v>
      </c>
      <c r="C17" t="s">
        <v>40</v>
      </c>
      <c r="D17" t="s">
        <v>16</v>
      </c>
      <c r="E17" t="s">
        <v>31</v>
      </c>
      <c r="G17" t="s">
        <v>647</v>
      </c>
    </row>
    <row r="18" spans="1:7" x14ac:dyDescent="0.2">
      <c r="A18" t="s">
        <v>368</v>
      </c>
      <c r="B18" t="s">
        <v>634</v>
      </c>
      <c r="C18" t="s">
        <v>249</v>
      </c>
      <c r="D18" t="s">
        <v>16</v>
      </c>
      <c r="E18" t="s">
        <v>31</v>
      </c>
      <c r="G18" t="s">
        <v>645</v>
      </c>
    </row>
    <row r="19" spans="1:7" x14ac:dyDescent="0.2">
      <c r="A19" t="s">
        <v>369</v>
      </c>
      <c r="B19" t="s">
        <v>634</v>
      </c>
      <c r="C19" t="s">
        <v>249</v>
      </c>
      <c r="D19" t="s">
        <v>16</v>
      </c>
      <c r="E19" t="s">
        <v>31</v>
      </c>
      <c r="G19" t="s">
        <v>645</v>
      </c>
    </row>
    <row r="20" spans="1:7" x14ac:dyDescent="0.2">
      <c r="A20" t="s">
        <v>370</v>
      </c>
      <c r="B20" t="s">
        <v>634</v>
      </c>
      <c r="C20" t="s">
        <v>249</v>
      </c>
      <c r="D20" t="s">
        <v>16</v>
      </c>
      <c r="E20" t="s">
        <v>31</v>
      </c>
      <c r="G20" t="s">
        <v>645</v>
      </c>
    </row>
    <row r="21" spans="1:7" x14ac:dyDescent="0.2">
      <c r="A21" t="s">
        <v>371</v>
      </c>
      <c r="B21" t="s">
        <v>634</v>
      </c>
      <c r="C21" t="s">
        <v>249</v>
      </c>
      <c r="D21" t="s">
        <v>16</v>
      </c>
      <c r="E21" t="s">
        <v>31</v>
      </c>
      <c r="G21" t="s">
        <v>648</v>
      </c>
    </row>
    <row r="22" spans="1:7" x14ac:dyDescent="0.2">
      <c r="A22" t="s">
        <v>372</v>
      </c>
      <c r="B22" t="s">
        <v>634</v>
      </c>
      <c r="C22" t="s">
        <v>249</v>
      </c>
      <c r="D22" t="s">
        <v>16</v>
      </c>
      <c r="E22" t="s">
        <v>250</v>
      </c>
      <c r="F22" t="s">
        <v>373</v>
      </c>
      <c r="G22" t="s">
        <v>649</v>
      </c>
    </row>
    <row r="23" spans="1:7" x14ac:dyDescent="0.2">
      <c r="A23" t="s">
        <v>374</v>
      </c>
      <c r="B23" t="s">
        <v>634</v>
      </c>
      <c r="C23" t="s">
        <v>249</v>
      </c>
      <c r="D23" t="s">
        <v>16</v>
      </c>
      <c r="E23" t="s">
        <v>31</v>
      </c>
      <c r="G23" t="s">
        <v>650</v>
      </c>
    </row>
    <row r="24" spans="1:7" x14ac:dyDescent="0.2">
      <c r="A24" t="s">
        <v>375</v>
      </c>
      <c r="B24" t="s">
        <v>634</v>
      </c>
      <c r="C24" t="s">
        <v>249</v>
      </c>
      <c r="D24" t="s">
        <v>16</v>
      </c>
      <c r="E24" t="s">
        <v>31</v>
      </c>
      <c r="G24" t="s">
        <v>651</v>
      </c>
    </row>
    <row r="25" spans="1:7" x14ac:dyDescent="0.2">
      <c r="A25" t="s">
        <v>376</v>
      </c>
      <c r="B25" t="s">
        <v>634</v>
      </c>
      <c r="C25" t="s">
        <v>249</v>
      </c>
      <c r="D25" t="s">
        <v>16</v>
      </c>
      <c r="E25" t="s">
        <v>31</v>
      </c>
      <c r="G25" t="s">
        <v>649</v>
      </c>
    </row>
    <row r="26" spans="1:7" x14ac:dyDescent="0.2">
      <c r="A26" t="s">
        <v>377</v>
      </c>
      <c r="B26" t="s">
        <v>634</v>
      </c>
      <c r="C26" t="s">
        <v>249</v>
      </c>
      <c r="D26" t="s">
        <v>16</v>
      </c>
      <c r="E26" t="s">
        <v>31</v>
      </c>
      <c r="G26" t="s">
        <v>649</v>
      </c>
    </row>
    <row r="27" spans="1:7" x14ac:dyDescent="0.2">
      <c r="A27" t="s">
        <v>378</v>
      </c>
      <c r="B27" t="s">
        <v>634</v>
      </c>
      <c r="C27" t="s">
        <v>249</v>
      </c>
      <c r="D27" t="s">
        <v>16</v>
      </c>
      <c r="E27" t="s">
        <v>250</v>
      </c>
      <c r="F27" t="s">
        <v>379</v>
      </c>
      <c r="G27" t="s">
        <v>652</v>
      </c>
    </row>
    <row r="28" spans="1:7" x14ac:dyDescent="0.2">
      <c r="A28" t="s">
        <v>380</v>
      </c>
      <c r="B28" t="s">
        <v>634</v>
      </c>
      <c r="C28" t="s">
        <v>249</v>
      </c>
      <c r="D28" t="s">
        <v>381</v>
      </c>
      <c r="E28" t="s">
        <v>31</v>
      </c>
      <c r="G28" t="s">
        <v>653</v>
      </c>
    </row>
    <row r="29" spans="1:7" x14ac:dyDescent="0.2">
      <c r="A29" t="s">
        <v>382</v>
      </c>
      <c r="B29" t="s">
        <v>634</v>
      </c>
      <c r="C29" t="s">
        <v>249</v>
      </c>
      <c r="D29" t="s">
        <v>16</v>
      </c>
      <c r="E29" t="s">
        <v>31</v>
      </c>
      <c r="G29" t="s">
        <v>650</v>
      </c>
    </row>
    <row r="30" spans="1:7" x14ac:dyDescent="0.2">
      <c r="A30" t="s">
        <v>142</v>
      </c>
      <c r="B30" t="s">
        <v>634</v>
      </c>
      <c r="C30" t="s">
        <v>87</v>
      </c>
      <c r="D30" t="s">
        <v>16</v>
      </c>
      <c r="E30" t="s">
        <v>31</v>
      </c>
      <c r="G30" t="s">
        <v>654</v>
      </c>
    </row>
    <row r="31" spans="1:7" x14ac:dyDescent="0.2">
      <c r="A31" t="s">
        <v>383</v>
      </c>
      <c r="B31" t="s">
        <v>634</v>
      </c>
      <c r="C31" t="s">
        <v>384</v>
      </c>
      <c r="D31" t="s">
        <v>385</v>
      </c>
      <c r="E31" t="s">
        <v>31</v>
      </c>
      <c r="G31" t="s">
        <v>655</v>
      </c>
    </row>
    <row r="32" spans="1:7" x14ac:dyDescent="0.2">
      <c r="A32" t="s">
        <v>386</v>
      </c>
      <c r="B32" t="s">
        <v>634</v>
      </c>
      <c r="C32" t="s">
        <v>384</v>
      </c>
      <c r="D32" t="s">
        <v>385</v>
      </c>
      <c r="E32" t="s">
        <v>31</v>
      </c>
      <c r="G32" t="s">
        <v>655</v>
      </c>
    </row>
    <row r="33" spans="1:7" x14ac:dyDescent="0.2">
      <c r="A33" t="s">
        <v>119</v>
      </c>
      <c r="B33" t="s">
        <v>637</v>
      </c>
      <c r="C33" t="s">
        <v>87</v>
      </c>
      <c r="D33" t="s">
        <v>120</v>
      </c>
      <c r="E33" t="s">
        <v>31</v>
      </c>
      <c r="G33" t="s">
        <v>638</v>
      </c>
    </row>
    <row r="34" spans="1:7" x14ac:dyDescent="0.2">
      <c r="A34" t="s">
        <v>149</v>
      </c>
      <c r="B34" t="s">
        <v>637</v>
      </c>
      <c r="C34" t="s">
        <v>87</v>
      </c>
      <c r="D34" t="s">
        <v>146</v>
      </c>
      <c r="E34" t="s">
        <v>31</v>
      </c>
      <c r="G34" t="s">
        <v>639</v>
      </c>
    </row>
    <row r="35" spans="1:7" x14ac:dyDescent="0.2">
      <c r="A35" t="s">
        <v>387</v>
      </c>
      <c r="B35" t="s">
        <v>634</v>
      </c>
      <c r="C35" t="s">
        <v>384</v>
      </c>
      <c r="D35" t="s">
        <v>388</v>
      </c>
      <c r="E35" t="s">
        <v>31</v>
      </c>
      <c r="G35" t="s">
        <v>656</v>
      </c>
    </row>
    <row r="36" spans="1:7" x14ac:dyDescent="0.2">
      <c r="A36" t="s">
        <v>389</v>
      </c>
      <c r="B36" t="s">
        <v>634</v>
      </c>
      <c r="C36" t="s">
        <v>384</v>
      </c>
      <c r="D36" t="s">
        <v>388</v>
      </c>
      <c r="E36" t="s">
        <v>31</v>
      </c>
      <c r="G36" t="s">
        <v>656</v>
      </c>
    </row>
    <row r="37" spans="1:7" x14ac:dyDescent="0.2">
      <c r="A37" t="s">
        <v>390</v>
      </c>
      <c r="B37" t="s">
        <v>634</v>
      </c>
      <c r="C37" t="s">
        <v>384</v>
      </c>
      <c r="D37" t="s">
        <v>388</v>
      </c>
      <c r="E37" t="s">
        <v>31</v>
      </c>
      <c r="G37" t="s">
        <v>656</v>
      </c>
    </row>
    <row r="38" spans="1:7" x14ac:dyDescent="0.2">
      <c r="A38" t="s">
        <v>187</v>
      </c>
      <c r="B38" t="s">
        <v>634</v>
      </c>
      <c r="C38" t="s">
        <v>87</v>
      </c>
      <c r="D38" t="s">
        <v>182</v>
      </c>
      <c r="E38" t="s">
        <v>31</v>
      </c>
      <c r="G38" t="s">
        <v>657</v>
      </c>
    </row>
    <row r="39" spans="1:7" x14ac:dyDescent="0.2">
      <c r="A39" t="s">
        <v>391</v>
      </c>
      <c r="B39" t="s">
        <v>634</v>
      </c>
      <c r="C39" t="s">
        <v>79</v>
      </c>
      <c r="D39" t="s">
        <v>80</v>
      </c>
      <c r="E39" t="s">
        <v>31</v>
      </c>
      <c r="G39" t="s">
        <v>636</v>
      </c>
    </row>
    <row r="40" spans="1:7" x14ac:dyDescent="0.2">
      <c r="A40" t="s">
        <v>392</v>
      </c>
      <c r="B40" t="s">
        <v>634</v>
      </c>
      <c r="C40" t="s">
        <v>130</v>
      </c>
      <c r="D40" t="s">
        <v>393</v>
      </c>
      <c r="E40" t="s">
        <v>31</v>
      </c>
      <c r="G40" t="s">
        <v>658</v>
      </c>
    </row>
    <row r="41" spans="1:7" x14ac:dyDescent="0.2">
      <c r="A41" t="s">
        <v>394</v>
      </c>
      <c r="B41" t="s">
        <v>634</v>
      </c>
      <c r="C41" t="s">
        <v>130</v>
      </c>
      <c r="D41" t="s">
        <v>393</v>
      </c>
      <c r="E41" t="s">
        <v>31</v>
      </c>
      <c r="G41" t="s">
        <v>658</v>
      </c>
    </row>
    <row r="42" spans="1:7" x14ac:dyDescent="0.2">
      <c r="A42" t="s">
        <v>395</v>
      </c>
      <c r="B42" t="s">
        <v>634</v>
      </c>
      <c r="C42" t="s">
        <v>130</v>
      </c>
      <c r="D42" t="s">
        <v>393</v>
      </c>
      <c r="E42" t="s">
        <v>31</v>
      </c>
      <c r="G42" t="s">
        <v>658</v>
      </c>
    </row>
    <row r="43" spans="1:7" x14ac:dyDescent="0.2">
      <c r="A43" t="s">
        <v>396</v>
      </c>
      <c r="B43" t="s">
        <v>634</v>
      </c>
      <c r="C43" t="s">
        <v>130</v>
      </c>
      <c r="D43" t="s">
        <v>393</v>
      </c>
      <c r="E43" t="s">
        <v>31</v>
      </c>
      <c r="G43" t="s">
        <v>658</v>
      </c>
    </row>
    <row r="44" spans="1:7" x14ac:dyDescent="0.2">
      <c r="A44" t="s">
        <v>397</v>
      </c>
      <c r="B44" t="s">
        <v>634</v>
      </c>
      <c r="C44" t="s">
        <v>130</v>
      </c>
      <c r="D44" t="s">
        <v>393</v>
      </c>
      <c r="E44" t="s">
        <v>31</v>
      </c>
      <c r="G44" t="s">
        <v>658</v>
      </c>
    </row>
    <row r="45" spans="1:7" x14ac:dyDescent="0.2">
      <c r="A45" t="s">
        <v>398</v>
      </c>
      <c r="B45" t="s">
        <v>634</v>
      </c>
      <c r="C45" t="s">
        <v>130</v>
      </c>
      <c r="D45" t="s">
        <v>393</v>
      </c>
      <c r="E45" t="s">
        <v>31</v>
      </c>
      <c r="G45" t="s">
        <v>658</v>
      </c>
    </row>
    <row r="46" spans="1:7" x14ac:dyDescent="0.2">
      <c r="A46" t="s">
        <v>399</v>
      </c>
      <c r="B46" t="s">
        <v>634</v>
      </c>
      <c r="C46" t="s">
        <v>130</v>
      </c>
      <c r="D46" t="s">
        <v>393</v>
      </c>
      <c r="E46" t="s">
        <v>31</v>
      </c>
      <c r="G46" t="s">
        <v>658</v>
      </c>
    </row>
    <row r="47" spans="1:7" x14ac:dyDescent="0.2">
      <c r="A47" t="s">
        <v>400</v>
      </c>
      <c r="B47" t="s">
        <v>634</v>
      </c>
      <c r="C47" t="s">
        <v>130</v>
      </c>
      <c r="D47" t="s">
        <v>393</v>
      </c>
      <c r="E47" t="s">
        <v>31</v>
      </c>
      <c r="G47" t="s">
        <v>658</v>
      </c>
    </row>
    <row r="48" spans="1:7" x14ac:dyDescent="0.2">
      <c r="A48" t="s">
        <v>100</v>
      </c>
      <c r="B48" t="s">
        <v>637</v>
      </c>
      <c r="C48" t="s">
        <v>87</v>
      </c>
      <c r="D48" t="s">
        <v>80</v>
      </c>
      <c r="E48" t="s">
        <v>31</v>
      </c>
      <c r="G48" t="s">
        <v>659</v>
      </c>
    </row>
    <row r="49" spans="1:7" x14ac:dyDescent="0.2">
      <c r="A49" t="s">
        <v>327</v>
      </c>
      <c r="B49" t="s">
        <v>634</v>
      </c>
      <c r="C49" t="s">
        <v>87</v>
      </c>
      <c r="D49" t="s">
        <v>314</v>
      </c>
      <c r="E49" t="s">
        <v>31</v>
      </c>
      <c r="G49" t="s">
        <v>660</v>
      </c>
    </row>
    <row r="50" spans="1:7" x14ac:dyDescent="0.2">
      <c r="A50" t="s">
        <v>401</v>
      </c>
      <c r="B50" t="s">
        <v>634</v>
      </c>
      <c r="C50" t="s">
        <v>130</v>
      </c>
      <c r="D50" t="s">
        <v>356</v>
      </c>
      <c r="E50" t="s">
        <v>31</v>
      </c>
      <c r="G50" t="s">
        <v>661</v>
      </c>
    </row>
    <row r="51" spans="1:7" x14ac:dyDescent="0.2">
      <c r="A51" t="s">
        <v>319</v>
      </c>
      <c r="B51" t="s">
        <v>634</v>
      </c>
      <c r="C51" t="s">
        <v>87</v>
      </c>
      <c r="D51" t="s">
        <v>314</v>
      </c>
      <c r="E51" t="s">
        <v>31</v>
      </c>
      <c r="G51" t="s">
        <v>660</v>
      </c>
    </row>
    <row r="52" spans="1:7" x14ac:dyDescent="0.2">
      <c r="A52" t="s">
        <v>402</v>
      </c>
      <c r="B52" t="s">
        <v>634</v>
      </c>
      <c r="C52" t="s">
        <v>130</v>
      </c>
      <c r="D52" t="s">
        <v>356</v>
      </c>
      <c r="E52" t="s">
        <v>31</v>
      </c>
      <c r="G52" t="s">
        <v>661</v>
      </c>
    </row>
    <row r="53" spans="1:7" x14ac:dyDescent="0.2">
      <c r="A53" t="s">
        <v>403</v>
      </c>
      <c r="B53" t="s">
        <v>634</v>
      </c>
      <c r="C53" t="s">
        <v>87</v>
      </c>
      <c r="D53" t="s">
        <v>314</v>
      </c>
      <c r="E53" t="s">
        <v>31</v>
      </c>
      <c r="G53" t="s">
        <v>660</v>
      </c>
    </row>
    <row r="54" spans="1:7" x14ac:dyDescent="0.2">
      <c r="A54" t="s">
        <v>323</v>
      </c>
      <c r="B54" t="s">
        <v>634</v>
      </c>
      <c r="C54" t="s">
        <v>87</v>
      </c>
      <c r="D54" t="s">
        <v>314</v>
      </c>
      <c r="E54" t="s">
        <v>31</v>
      </c>
      <c r="G54" t="s">
        <v>660</v>
      </c>
    </row>
    <row r="55" spans="1:7" x14ac:dyDescent="0.2">
      <c r="A55" t="s">
        <v>404</v>
      </c>
      <c r="B55" t="s">
        <v>634</v>
      </c>
      <c r="C55" t="s">
        <v>87</v>
      </c>
      <c r="D55" t="s">
        <v>314</v>
      </c>
      <c r="E55" t="s">
        <v>31</v>
      </c>
      <c r="G55" t="s">
        <v>660</v>
      </c>
    </row>
    <row r="56" spans="1:7" x14ac:dyDescent="0.2">
      <c r="A56" t="s">
        <v>405</v>
      </c>
      <c r="B56" t="s">
        <v>634</v>
      </c>
      <c r="C56" t="s">
        <v>87</v>
      </c>
      <c r="D56" t="s">
        <v>314</v>
      </c>
      <c r="E56" t="s">
        <v>31</v>
      </c>
      <c r="G56" t="s">
        <v>660</v>
      </c>
    </row>
    <row r="57" spans="1:7" x14ac:dyDescent="0.2">
      <c r="A57" t="s">
        <v>406</v>
      </c>
      <c r="B57" t="s">
        <v>634</v>
      </c>
      <c r="C57" t="s">
        <v>87</v>
      </c>
      <c r="D57" t="s">
        <v>314</v>
      </c>
      <c r="E57" t="s">
        <v>31</v>
      </c>
      <c r="G57" t="s">
        <v>660</v>
      </c>
    </row>
    <row r="58" spans="1:7" x14ac:dyDescent="0.2">
      <c r="A58" t="s">
        <v>407</v>
      </c>
      <c r="B58" t="s">
        <v>634</v>
      </c>
      <c r="C58" t="s">
        <v>87</v>
      </c>
      <c r="D58" t="s">
        <v>314</v>
      </c>
      <c r="E58" t="s">
        <v>31</v>
      </c>
      <c r="G58" t="s">
        <v>660</v>
      </c>
    </row>
    <row r="59" spans="1:7" x14ac:dyDescent="0.2">
      <c r="A59" t="s">
        <v>408</v>
      </c>
      <c r="B59" t="s">
        <v>634</v>
      </c>
      <c r="C59" t="s">
        <v>87</v>
      </c>
      <c r="D59" t="s">
        <v>314</v>
      </c>
      <c r="E59" t="s">
        <v>31</v>
      </c>
      <c r="G59" t="s">
        <v>660</v>
      </c>
    </row>
    <row r="60" spans="1:7" x14ac:dyDescent="0.2">
      <c r="A60" t="s">
        <v>409</v>
      </c>
      <c r="B60" t="s">
        <v>634</v>
      </c>
      <c r="C60" t="s">
        <v>87</v>
      </c>
      <c r="D60" t="s">
        <v>314</v>
      </c>
      <c r="E60" t="s">
        <v>31</v>
      </c>
      <c r="G60" t="s">
        <v>660</v>
      </c>
    </row>
    <row r="61" spans="1:7" x14ac:dyDescent="0.2">
      <c r="A61" t="s">
        <v>410</v>
      </c>
      <c r="B61" t="s">
        <v>634</v>
      </c>
      <c r="C61" t="s">
        <v>87</v>
      </c>
      <c r="D61" t="s">
        <v>314</v>
      </c>
      <c r="E61" t="s">
        <v>31</v>
      </c>
      <c r="G61" t="s">
        <v>660</v>
      </c>
    </row>
    <row r="62" spans="1:7" x14ac:dyDescent="0.2">
      <c r="A62" t="s">
        <v>313</v>
      </c>
      <c r="B62" t="s">
        <v>634</v>
      </c>
      <c r="C62" t="s">
        <v>87</v>
      </c>
      <c r="D62" t="s">
        <v>314</v>
      </c>
      <c r="E62" t="s">
        <v>31</v>
      </c>
      <c r="G62" t="s">
        <v>660</v>
      </c>
    </row>
    <row r="63" spans="1:7" x14ac:dyDescent="0.2">
      <c r="A63" t="s">
        <v>330</v>
      </c>
      <c r="B63" t="s">
        <v>637</v>
      </c>
      <c r="C63" t="s">
        <v>87</v>
      </c>
      <c r="D63" t="s">
        <v>314</v>
      </c>
      <c r="E63" t="s">
        <v>31</v>
      </c>
      <c r="G63" t="s">
        <v>660</v>
      </c>
    </row>
    <row r="64" spans="1:7" x14ac:dyDescent="0.2">
      <c r="A64" t="s">
        <v>333</v>
      </c>
      <c r="B64" t="s">
        <v>634</v>
      </c>
      <c r="C64" t="s">
        <v>87</v>
      </c>
      <c r="D64" t="s">
        <v>314</v>
      </c>
      <c r="E64" t="s">
        <v>31</v>
      </c>
      <c r="G64" t="s">
        <v>660</v>
      </c>
    </row>
    <row r="65" spans="1:7" x14ac:dyDescent="0.2">
      <c r="A65" t="s">
        <v>411</v>
      </c>
      <c r="B65" t="s">
        <v>634</v>
      </c>
      <c r="C65" t="s">
        <v>130</v>
      </c>
      <c r="D65" t="s">
        <v>356</v>
      </c>
      <c r="E65" t="s">
        <v>31</v>
      </c>
      <c r="G65" t="s">
        <v>661</v>
      </c>
    </row>
    <row r="66" spans="1:7" x14ac:dyDescent="0.2">
      <c r="A66" t="s">
        <v>325</v>
      </c>
      <c r="B66" t="s">
        <v>637</v>
      </c>
      <c r="C66" t="s">
        <v>87</v>
      </c>
      <c r="D66" t="s">
        <v>314</v>
      </c>
      <c r="E66" t="s">
        <v>31</v>
      </c>
      <c r="G66" t="s">
        <v>660</v>
      </c>
    </row>
    <row r="67" spans="1:7" x14ac:dyDescent="0.2">
      <c r="A67" t="s">
        <v>412</v>
      </c>
      <c r="B67" t="s">
        <v>634</v>
      </c>
      <c r="C67" t="s">
        <v>87</v>
      </c>
      <c r="D67" t="s">
        <v>314</v>
      </c>
      <c r="E67" t="s">
        <v>31</v>
      </c>
      <c r="G67" t="s">
        <v>660</v>
      </c>
    </row>
    <row r="68" spans="1:7" x14ac:dyDescent="0.2">
      <c r="A68" t="s">
        <v>413</v>
      </c>
      <c r="B68" t="s">
        <v>634</v>
      </c>
      <c r="C68" t="s">
        <v>87</v>
      </c>
      <c r="D68" t="s">
        <v>314</v>
      </c>
      <c r="E68" t="s">
        <v>31</v>
      </c>
      <c r="G68" t="s">
        <v>660</v>
      </c>
    </row>
    <row r="69" spans="1:7" x14ac:dyDescent="0.2">
      <c r="A69" t="s">
        <v>414</v>
      </c>
      <c r="B69" t="s">
        <v>637</v>
      </c>
      <c r="C69" t="s">
        <v>87</v>
      </c>
      <c r="D69" t="s">
        <v>314</v>
      </c>
      <c r="E69" t="s">
        <v>31</v>
      </c>
      <c r="G69" t="s">
        <v>660</v>
      </c>
    </row>
    <row r="70" spans="1:7" x14ac:dyDescent="0.2">
      <c r="A70" t="s">
        <v>332</v>
      </c>
      <c r="B70" t="s">
        <v>634</v>
      </c>
      <c r="C70" t="s">
        <v>87</v>
      </c>
      <c r="D70" t="s">
        <v>314</v>
      </c>
      <c r="E70" t="s">
        <v>31</v>
      </c>
      <c r="G70" t="s">
        <v>660</v>
      </c>
    </row>
    <row r="71" spans="1:7" x14ac:dyDescent="0.2">
      <c r="A71" t="s">
        <v>415</v>
      </c>
      <c r="B71" t="s">
        <v>634</v>
      </c>
      <c r="C71" t="s">
        <v>87</v>
      </c>
      <c r="D71" t="s">
        <v>314</v>
      </c>
      <c r="E71" t="s">
        <v>31</v>
      </c>
      <c r="G71" t="s">
        <v>660</v>
      </c>
    </row>
    <row r="72" spans="1:7" x14ac:dyDescent="0.2">
      <c r="A72" t="s">
        <v>416</v>
      </c>
      <c r="B72" t="s">
        <v>637</v>
      </c>
      <c r="C72" t="s">
        <v>87</v>
      </c>
      <c r="D72" t="s">
        <v>314</v>
      </c>
      <c r="E72" t="s">
        <v>31</v>
      </c>
      <c r="G72" t="s">
        <v>660</v>
      </c>
    </row>
    <row r="73" spans="1:7" x14ac:dyDescent="0.2">
      <c r="A73" t="s">
        <v>417</v>
      </c>
      <c r="B73" t="s">
        <v>634</v>
      </c>
      <c r="C73" t="s">
        <v>87</v>
      </c>
      <c r="D73" t="s">
        <v>314</v>
      </c>
      <c r="E73" t="s">
        <v>31</v>
      </c>
      <c r="G73" t="s">
        <v>660</v>
      </c>
    </row>
    <row r="74" spans="1:7" x14ac:dyDescent="0.2">
      <c r="A74" t="s">
        <v>418</v>
      </c>
      <c r="B74" t="s">
        <v>634</v>
      </c>
      <c r="C74" t="s">
        <v>79</v>
      </c>
      <c r="D74" t="s">
        <v>80</v>
      </c>
      <c r="E74" t="s">
        <v>31</v>
      </c>
      <c r="G74" t="s">
        <v>636</v>
      </c>
    </row>
    <row r="75" spans="1:7" x14ac:dyDescent="0.2">
      <c r="A75" t="s">
        <v>419</v>
      </c>
      <c r="B75" t="s">
        <v>634</v>
      </c>
      <c r="C75" t="s">
        <v>87</v>
      </c>
      <c r="D75" t="s">
        <v>314</v>
      </c>
      <c r="E75" t="s">
        <v>31</v>
      </c>
      <c r="G75" t="s">
        <v>660</v>
      </c>
    </row>
    <row r="76" spans="1:7" x14ac:dyDescent="0.2">
      <c r="A76" t="s">
        <v>420</v>
      </c>
      <c r="B76" t="s">
        <v>634</v>
      </c>
      <c r="C76" t="s">
        <v>87</v>
      </c>
      <c r="D76" t="s">
        <v>314</v>
      </c>
      <c r="E76" t="s">
        <v>31</v>
      </c>
      <c r="G76" t="s">
        <v>660</v>
      </c>
    </row>
    <row r="77" spans="1:7" x14ac:dyDescent="0.2">
      <c r="A77" t="s">
        <v>421</v>
      </c>
      <c r="B77" t="s">
        <v>634</v>
      </c>
      <c r="C77" t="s">
        <v>130</v>
      </c>
      <c r="D77" t="s">
        <v>356</v>
      </c>
      <c r="E77" t="s">
        <v>31</v>
      </c>
      <c r="G77" t="s">
        <v>661</v>
      </c>
    </row>
    <row r="78" spans="1:7" x14ac:dyDescent="0.2">
      <c r="A78" t="s">
        <v>422</v>
      </c>
      <c r="B78" t="s">
        <v>634</v>
      </c>
      <c r="C78" t="s">
        <v>130</v>
      </c>
      <c r="D78" t="s">
        <v>356</v>
      </c>
      <c r="E78" t="s">
        <v>31</v>
      </c>
      <c r="G78" t="s">
        <v>661</v>
      </c>
    </row>
    <row r="79" spans="1:7" x14ac:dyDescent="0.2">
      <c r="A79" t="s">
        <v>321</v>
      </c>
      <c r="B79" t="s">
        <v>634</v>
      </c>
      <c r="C79" t="s">
        <v>87</v>
      </c>
      <c r="D79" t="s">
        <v>314</v>
      </c>
      <c r="E79" t="s">
        <v>31</v>
      </c>
      <c r="G79" t="s">
        <v>660</v>
      </c>
    </row>
    <row r="80" spans="1:7" x14ac:dyDescent="0.2">
      <c r="A80" t="s">
        <v>317</v>
      </c>
      <c r="B80" t="s">
        <v>634</v>
      </c>
      <c r="C80" t="s">
        <v>87</v>
      </c>
      <c r="D80" t="s">
        <v>314</v>
      </c>
      <c r="E80" t="s">
        <v>31</v>
      </c>
      <c r="G80" t="s">
        <v>660</v>
      </c>
    </row>
    <row r="81" spans="1:7" x14ac:dyDescent="0.2">
      <c r="A81" t="s">
        <v>423</v>
      </c>
      <c r="B81" t="s">
        <v>634</v>
      </c>
      <c r="C81" t="s">
        <v>87</v>
      </c>
      <c r="D81" t="s">
        <v>314</v>
      </c>
      <c r="E81" t="s">
        <v>31</v>
      </c>
      <c r="G81" t="s">
        <v>660</v>
      </c>
    </row>
    <row r="82" spans="1:7" x14ac:dyDescent="0.2">
      <c r="A82" t="s">
        <v>424</v>
      </c>
      <c r="B82" t="s">
        <v>634</v>
      </c>
      <c r="C82" t="s">
        <v>87</v>
      </c>
      <c r="D82" t="s">
        <v>314</v>
      </c>
      <c r="E82" t="s">
        <v>31</v>
      </c>
      <c r="G82" t="s">
        <v>660</v>
      </c>
    </row>
    <row r="83" spans="1:7" x14ac:dyDescent="0.2">
      <c r="A83" t="s">
        <v>425</v>
      </c>
      <c r="B83" t="s">
        <v>634</v>
      </c>
      <c r="C83" t="s">
        <v>79</v>
      </c>
      <c r="D83" t="s">
        <v>80</v>
      </c>
      <c r="E83" t="s">
        <v>31</v>
      </c>
      <c r="G83" t="s">
        <v>636</v>
      </c>
    </row>
    <row r="84" spans="1:7" x14ac:dyDescent="0.2">
      <c r="A84" t="s">
        <v>426</v>
      </c>
      <c r="B84" t="s">
        <v>634</v>
      </c>
      <c r="C84" t="s">
        <v>384</v>
      </c>
      <c r="D84" t="s">
        <v>388</v>
      </c>
      <c r="E84" t="s">
        <v>31</v>
      </c>
      <c r="G84" t="s">
        <v>656</v>
      </c>
    </row>
    <row r="85" spans="1:7" x14ac:dyDescent="0.2">
      <c r="A85" t="s">
        <v>427</v>
      </c>
      <c r="B85" t="s">
        <v>634</v>
      </c>
      <c r="C85" t="s">
        <v>384</v>
      </c>
      <c r="D85" t="s">
        <v>388</v>
      </c>
      <c r="E85" t="s">
        <v>31</v>
      </c>
      <c r="G85" t="s">
        <v>656</v>
      </c>
    </row>
    <row r="86" spans="1:7" x14ac:dyDescent="0.2">
      <c r="A86" t="s">
        <v>428</v>
      </c>
      <c r="B86" t="s">
        <v>634</v>
      </c>
      <c r="C86" t="s">
        <v>384</v>
      </c>
      <c r="D86" t="s">
        <v>388</v>
      </c>
      <c r="E86" t="s">
        <v>31</v>
      </c>
      <c r="G86" t="s">
        <v>656</v>
      </c>
    </row>
    <row r="87" spans="1:7" x14ac:dyDescent="0.2">
      <c r="A87" t="s">
        <v>429</v>
      </c>
      <c r="B87" t="s">
        <v>634</v>
      </c>
      <c r="C87" t="s">
        <v>87</v>
      </c>
      <c r="D87" t="s">
        <v>182</v>
      </c>
      <c r="E87" t="s">
        <v>31</v>
      </c>
      <c r="G87" t="s">
        <v>657</v>
      </c>
    </row>
    <row r="88" spans="1:7" x14ac:dyDescent="0.2">
      <c r="A88" t="s">
        <v>184</v>
      </c>
      <c r="B88" t="s">
        <v>634</v>
      </c>
      <c r="C88" t="s">
        <v>87</v>
      </c>
      <c r="D88" t="s">
        <v>182</v>
      </c>
      <c r="E88" t="s">
        <v>31</v>
      </c>
      <c r="G88" t="s">
        <v>657</v>
      </c>
    </row>
    <row r="89" spans="1:7" x14ac:dyDescent="0.2">
      <c r="A89" t="s">
        <v>430</v>
      </c>
      <c r="B89" t="s">
        <v>634</v>
      </c>
      <c r="C89" t="s">
        <v>40</v>
      </c>
      <c r="D89" t="s">
        <v>16</v>
      </c>
      <c r="E89" t="s">
        <v>31</v>
      </c>
      <c r="G89" t="s">
        <v>647</v>
      </c>
    </row>
    <row r="90" spans="1:7" x14ac:dyDescent="0.2">
      <c r="A90" t="s">
        <v>431</v>
      </c>
      <c r="B90" t="s">
        <v>634</v>
      </c>
      <c r="C90" t="s">
        <v>87</v>
      </c>
      <c r="D90" t="s">
        <v>432</v>
      </c>
      <c r="E90" t="s">
        <v>31</v>
      </c>
      <c r="G90" t="s">
        <v>662</v>
      </c>
    </row>
    <row r="91" spans="1:7" x14ac:dyDescent="0.2">
      <c r="A91" t="s">
        <v>433</v>
      </c>
      <c r="B91" t="s">
        <v>634</v>
      </c>
      <c r="C91" t="s">
        <v>87</v>
      </c>
      <c r="D91" t="s">
        <v>432</v>
      </c>
      <c r="E91" t="s">
        <v>31</v>
      </c>
      <c r="G91" t="s">
        <v>662</v>
      </c>
    </row>
    <row r="92" spans="1:7" x14ac:dyDescent="0.2">
      <c r="A92" t="s">
        <v>434</v>
      </c>
      <c r="B92" t="s">
        <v>634</v>
      </c>
      <c r="C92" t="s">
        <v>79</v>
      </c>
      <c r="D92" t="s">
        <v>16</v>
      </c>
      <c r="E92" t="s">
        <v>31</v>
      </c>
      <c r="G92" t="s">
        <v>663</v>
      </c>
    </row>
    <row r="93" spans="1:7" x14ac:dyDescent="0.2">
      <c r="A93" t="s">
        <v>39</v>
      </c>
      <c r="B93" t="s">
        <v>634</v>
      </c>
      <c r="C93" t="s">
        <v>40</v>
      </c>
      <c r="D93" t="s">
        <v>16</v>
      </c>
      <c r="E93" t="s">
        <v>31</v>
      </c>
      <c r="F93" t="s">
        <v>41</v>
      </c>
      <c r="G93" t="s">
        <v>647</v>
      </c>
    </row>
    <row r="94" spans="1:7" x14ac:dyDescent="0.2">
      <c r="A94" t="s">
        <v>435</v>
      </c>
      <c r="B94" t="s">
        <v>634</v>
      </c>
      <c r="C94" t="s">
        <v>79</v>
      </c>
      <c r="D94" t="s">
        <v>80</v>
      </c>
      <c r="E94" t="s">
        <v>31</v>
      </c>
      <c r="G94" t="s">
        <v>636</v>
      </c>
    </row>
    <row r="95" spans="1:7" x14ac:dyDescent="0.2">
      <c r="A95" t="s">
        <v>436</v>
      </c>
      <c r="B95" t="s">
        <v>634</v>
      </c>
      <c r="C95" t="s">
        <v>79</v>
      </c>
      <c r="D95" t="s">
        <v>80</v>
      </c>
      <c r="E95" t="s">
        <v>31</v>
      </c>
      <c r="G95" t="s">
        <v>636</v>
      </c>
    </row>
    <row r="96" spans="1:7" x14ac:dyDescent="0.2">
      <c r="A96" t="s">
        <v>437</v>
      </c>
      <c r="B96" t="s">
        <v>634</v>
      </c>
      <c r="C96" t="s">
        <v>79</v>
      </c>
      <c r="D96" t="s">
        <v>80</v>
      </c>
      <c r="E96" t="s">
        <v>31</v>
      </c>
      <c r="G96" t="s">
        <v>636</v>
      </c>
    </row>
    <row r="97" spans="1:7" x14ac:dyDescent="0.2">
      <c r="A97" t="s">
        <v>438</v>
      </c>
      <c r="B97" t="s">
        <v>637</v>
      </c>
      <c r="C97" t="s">
        <v>87</v>
      </c>
      <c r="D97" t="s">
        <v>16</v>
      </c>
      <c r="E97" t="s">
        <v>31</v>
      </c>
      <c r="G97" t="s">
        <v>664</v>
      </c>
    </row>
    <row r="98" spans="1:7" x14ac:dyDescent="0.2">
      <c r="A98" t="s">
        <v>439</v>
      </c>
      <c r="B98" t="s">
        <v>637</v>
      </c>
      <c r="C98" t="s">
        <v>87</v>
      </c>
      <c r="D98" t="s">
        <v>440</v>
      </c>
      <c r="E98" t="s">
        <v>31</v>
      </c>
      <c r="G98" t="s">
        <v>665</v>
      </c>
    </row>
    <row r="99" spans="1:7" x14ac:dyDescent="0.2">
      <c r="A99" t="s">
        <v>48</v>
      </c>
      <c r="B99" t="s">
        <v>637</v>
      </c>
      <c r="C99" t="s">
        <v>15</v>
      </c>
      <c r="D99" t="s">
        <v>49</v>
      </c>
      <c r="E99" t="s">
        <v>31</v>
      </c>
      <c r="G99" t="s">
        <v>666</v>
      </c>
    </row>
    <row r="100" spans="1:7" x14ac:dyDescent="0.2">
      <c r="A100" t="s">
        <v>441</v>
      </c>
      <c r="B100" t="s">
        <v>634</v>
      </c>
      <c r="C100" t="s">
        <v>79</v>
      </c>
      <c r="D100" t="s">
        <v>80</v>
      </c>
      <c r="E100" t="s">
        <v>31</v>
      </c>
      <c r="G100" t="s">
        <v>636</v>
      </c>
    </row>
    <row r="101" spans="1:7" x14ac:dyDescent="0.2">
      <c r="A101" t="s">
        <v>442</v>
      </c>
      <c r="B101" t="s">
        <v>634</v>
      </c>
      <c r="C101" t="s">
        <v>130</v>
      </c>
      <c r="D101" t="s">
        <v>443</v>
      </c>
      <c r="E101" t="s">
        <v>31</v>
      </c>
      <c r="G101" t="s">
        <v>667</v>
      </c>
    </row>
    <row r="102" spans="1:7" x14ac:dyDescent="0.2">
      <c r="A102" t="s">
        <v>444</v>
      </c>
      <c r="B102" t="s">
        <v>634</v>
      </c>
      <c r="C102" t="s">
        <v>15</v>
      </c>
      <c r="D102" t="s">
        <v>54</v>
      </c>
      <c r="E102" t="s">
        <v>31</v>
      </c>
      <c r="G102" t="s">
        <v>668</v>
      </c>
    </row>
    <row r="103" spans="1:7" x14ac:dyDescent="0.2">
      <c r="A103" t="s">
        <v>445</v>
      </c>
      <c r="B103" t="s">
        <v>634</v>
      </c>
      <c r="C103" t="s">
        <v>87</v>
      </c>
      <c r="D103" t="s">
        <v>120</v>
      </c>
      <c r="E103" t="s">
        <v>31</v>
      </c>
      <c r="G103" t="s">
        <v>638</v>
      </c>
    </row>
    <row r="104" spans="1:7" x14ac:dyDescent="0.2">
      <c r="A104" t="s">
        <v>446</v>
      </c>
      <c r="B104" t="s">
        <v>634</v>
      </c>
      <c r="C104" t="s">
        <v>87</v>
      </c>
      <c r="D104" t="s">
        <v>120</v>
      </c>
      <c r="E104" t="s">
        <v>31</v>
      </c>
      <c r="G104" t="s">
        <v>638</v>
      </c>
    </row>
    <row r="105" spans="1:7" x14ac:dyDescent="0.2">
      <c r="A105" t="s">
        <v>447</v>
      </c>
      <c r="B105" t="s">
        <v>637</v>
      </c>
      <c r="C105" t="s">
        <v>87</v>
      </c>
      <c r="D105" t="s">
        <v>448</v>
      </c>
      <c r="E105" t="s">
        <v>31</v>
      </c>
      <c r="G105" t="s">
        <v>669</v>
      </c>
    </row>
    <row r="106" spans="1:7" x14ac:dyDescent="0.2">
      <c r="A106" t="s">
        <v>449</v>
      </c>
      <c r="B106" t="s">
        <v>634</v>
      </c>
      <c r="C106" t="s">
        <v>15</v>
      </c>
      <c r="D106" t="s">
        <v>54</v>
      </c>
      <c r="E106" t="s">
        <v>31</v>
      </c>
      <c r="G106" t="s">
        <v>670</v>
      </c>
    </row>
    <row r="107" spans="1:7" x14ac:dyDescent="0.2">
      <c r="A107" t="s">
        <v>230</v>
      </c>
      <c r="B107" t="s">
        <v>634</v>
      </c>
      <c r="C107" t="s">
        <v>15</v>
      </c>
      <c r="D107" t="s">
        <v>54</v>
      </c>
      <c r="E107" t="s">
        <v>31</v>
      </c>
      <c r="G107" t="s">
        <v>668</v>
      </c>
    </row>
    <row r="108" spans="1:7" x14ac:dyDescent="0.2">
      <c r="A108" t="s">
        <v>450</v>
      </c>
      <c r="B108" t="s">
        <v>634</v>
      </c>
      <c r="C108" t="s">
        <v>15</v>
      </c>
      <c r="D108" t="s">
        <v>54</v>
      </c>
      <c r="E108" t="s">
        <v>451</v>
      </c>
      <c r="F108" t="s">
        <v>452</v>
      </c>
      <c r="G108" t="s">
        <v>670</v>
      </c>
    </row>
    <row r="109" spans="1:7" x14ac:dyDescent="0.2">
      <c r="A109" t="s">
        <v>453</v>
      </c>
      <c r="B109" t="s">
        <v>634</v>
      </c>
      <c r="C109" t="s">
        <v>278</v>
      </c>
      <c r="D109" t="s">
        <v>279</v>
      </c>
      <c r="E109" t="s">
        <v>31</v>
      </c>
      <c r="G109" t="s">
        <v>671</v>
      </c>
    </row>
    <row r="110" spans="1:7" x14ac:dyDescent="0.2">
      <c r="A110" t="s">
        <v>277</v>
      </c>
      <c r="B110" t="s">
        <v>634</v>
      </c>
      <c r="C110" t="s">
        <v>278</v>
      </c>
      <c r="D110" t="s">
        <v>279</v>
      </c>
      <c r="E110" t="s">
        <v>31</v>
      </c>
      <c r="G110" t="s">
        <v>671</v>
      </c>
    </row>
    <row r="111" spans="1:7" x14ac:dyDescent="0.2">
      <c r="A111" t="s">
        <v>454</v>
      </c>
      <c r="B111" t="s">
        <v>634</v>
      </c>
      <c r="C111" t="s">
        <v>278</v>
      </c>
      <c r="D111" t="s">
        <v>279</v>
      </c>
      <c r="E111" t="s">
        <v>31</v>
      </c>
      <c r="G111" t="s">
        <v>671</v>
      </c>
    </row>
    <row r="112" spans="1:7" x14ac:dyDescent="0.2">
      <c r="A112" t="s">
        <v>455</v>
      </c>
      <c r="B112" t="s">
        <v>634</v>
      </c>
      <c r="C112" t="s">
        <v>278</v>
      </c>
      <c r="D112" t="s">
        <v>279</v>
      </c>
      <c r="E112" t="s">
        <v>31</v>
      </c>
      <c r="G112" t="s">
        <v>671</v>
      </c>
    </row>
    <row r="113" spans="1:7" x14ac:dyDescent="0.2">
      <c r="A113" t="s">
        <v>456</v>
      </c>
      <c r="B113" t="s">
        <v>634</v>
      </c>
      <c r="C113" t="s">
        <v>278</v>
      </c>
      <c r="D113" t="s">
        <v>279</v>
      </c>
      <c r="E113" t="s">
        <v>31</v>
      </c>
      <c r="G113" t="s">
        <v>671</v>
      </c>
    </row>
    <row r="114" spans="1:7" x14ac:dyDescent="0.2">
      <c r="A114" t="s">
        <v>457</v>
      </c>
      <c r="B114" t="s">
        <v>634</v>
      </c>
      <c r="C114" t="s">
        <v>278</v>
      </c>
      <c r="D114" t="s">
        <v>279</v>
      </c>
      <c r="E114" t="s">
        <v>31</v>
      </c>
      <c r="G114" t="s">
        <v>671</v>
      </c>
    </row>
    <row r="115" spans="1:7" x14ac:dyDescent="0.2">
      <c r="A115" t="s">
        <v>458</v>
      </c>
      <c r="B115" t="s">
        <v>634</v>
      </c>
      <c r="C115" t="s">
        <v>130</v>
      </c>
      <c r="D115" t="s">
        <v>16</v>
      </c>
      <c r="E115" t="s">
        <v>31</v>
      </c>
      <c r="G115" t="s">
        <v>672</v>
      </c>
    </row>
    <row r="116" spans="1:7" x14ac:dyDescent="0.2">
      <c r="A116" t="s">
        <v>459</v>
      </c>
      <c r="B116" t="s">
        <v>634</v>
      </c>
      <c r="C116" t="s">
        <v>130</v>
      </c>
      <c r="D116" t="s">
        <v>16</v>
      </c>
      <c r="E116" t="s">
        <v>31</v>
      </c>
      <c r="G116" t="s">
        <v>672</v>
      </c>
    </row>
    <row r="117" spans="1:7" x14ac:dyDescent="0.2">
      <c r="A117" t="s">
        <v>460</v>
      </c>
      <c r="B117" t="s">
        <v>634</v>
      </c>
      <c r="C117" t="s">
        <v>40</v>
      </c>
      <c r="D117" t="s">
        <v>16</v>
      </c>
      <c r="E117" t="s">
        <v>31</v>
      </c>
      <c r="G117" t="s">
        <v>647</v>
      </c>
    </row>
    <row r="118" spans="1:7" x14ac:dyDescent="0.2">
      <c r="A118" t="s">
        <v>168</v>
      </c>
      <c r="B118" t="s">
        <v>637</v>
      </c>
      <c r="C118" t="s">
        <v>15</v>
      </c>
      <c r="D118" t="s">
        <v>166</v>
      </c>
      <c r="E118" t="s">
        <v>31</v>
      </c>
      <c r="G118" t="s">
        <v>673</v>
      </c>
    </row>
    <row r="119" spans="1:7" x14ac:dyDescent="0.2">
      <c r="A119" t="s">
        <v>189</v>
      </c>
      <c r="B119" t="s">
        <v>634</v>
      </c>
      <c r="C119" t="s">
        <v>87</v>
      </c>
      <c r="D119" t="s">
        <v>190</v>
      </c>
      <c r="E119" t="s">
        <v>31</v>
      </c>
      <c r="G119" t="s">
        <v>674</v>
      </c>
    </row>
    <row r="120" spans="1:7" x14ac:dyDescent="0.2">
      <c r="A120" t="s">
        <v>461</v>
      </c>
      <c r="B120" t="s">
        <v>634</v>
      </c>
      <c r="C120" t="s">
        <v>40</v>
      </c>
      <c r="D120" t="s">
        <v>16</v>
      </c>
      <c r="E120" t="s">
        <v>31</v>
      </c>
      <c r="G120" t="s">
        <v>647</v>
      </c>
    </row>
    <row r="121" spans="1:7" x14ac:dyDescent="0.2">
      <c r="A121" t="s">
        <v>462</v>
      </c>
      <c r="B121" t="s">
        <v>634</v>
      </c>
      <c r="C121" t="s">
        <v>40</v>
      </c>
      <c r="D121" t="s">
        <v>16</v>
      </c>
      <c r="E121" t="s">
        <v>31</v>
      </c>
      <c r="G121" t="s">
        <v>647</v>
      </c>
    </row>
    <row r="122" spans="1:7" x14ac:dyDescent="0.2">
      <c r="A122" t="s">
        <v>463</v>
      </c>
      <c r="B122" t="s">
        <v>634</v>
      </c>
      <c r="C122" t="s">
        <v>40</v>
      </c>
      <c r="D122" t="s">
        <v>16</v>
      </c>
      <c r="E122" t="s">
        <v>31</v>
      </c>
      <c r="G122" t="s">
        <v>647</v>
      </c>
    </row>
    <row r="123" spans="1:7" x14ac:dyDescent="0.2">
      <c r="A123" t="s">
        <v>464</v>
      </c>
      <c r="B123" t="s">
        <v>637</v>
      </c>
      <c r="C123" t="s">
        <v>40</v>
      </c>
      <c r="D123" t="s">
        <v>465</v>
      </c>
      <c r="E123" t="s">
        <v>31</v>
      </c>
      <c r="G123" t="s">
        <v>675</v>
      </c>
    </row>
    <row r="124" spans="1:7" x14ac:dyDescent="0.2">
      <c r="A124" t="s">
        <v>466</v>
      </c>
      <c r="B124" t="s">
        <v>634</v>
      </c>
      <c r="C124" t="s">
        <v>40</v>
      </c>
      <c r="D124" t="s">
        <v>465</v>
      </c>
      <c r="E124" t="s">
        <v>31</v>
      </c>
      <c r="G124" t="s">
        <v>675</v>
      </c>
    </row>
    <row r="125" spans="1:7" x14ac:dyDescent="0.2">
      <c r="A125" t="s">
        <v>467</v>
      </c>
      <c r="B125" t="s">
        <v>634</v>
      </c>
      <c r="C125" t="s">
        <v>130</v>
      </c>
      <c r="D125" t="s">
        <v>80</v>
      </c>
      <c r="E125" t="s">
        <v>250</v>
      </c>
      <c r="F125" t="s">
        <v>468</v>
      </c>
      <c r="G125" t="s">
        <v>676</v>
      </c>
    </row>
    <row r="126" spans="1:7" x14ac:dyDescent="0.2">
      <c r="A126" t="s">
        <v>469</v>
      </c>
      <c r="B126" t="s">
        <v>634</v>
      </c>
      <c r="C126" t="s">
        <v>384</v>
      </c>
      <c r="D126" t="s">
        <v>310</v>
      </c>
      <c r="E126" t="s">
        <v>31</v>
      </c>
      <c r="G126" t="s">
        <v>677</v>
      </c>
    </row>
    <row r="127" spans="1:7" x14ac:dyDescent="0.2">
      <c r="A127" t="s">
        <v>470</v>
      </c>
      <c r="B127" t="s">
        <v>634</v>
      </c>
      <c r="C127" t="s">
        <v>130</v>
      </c>
      <c r="D127" t="s">
        <v>146</v>
      </c>
      <c r="E127" t="s">
        <v>31</v>
      </c>
      <c r="G127" t="s">
        <v>678</v>
      </c>
    </row>
    <row r="128" spans="1:7" x14ac:dyDescent="0.2">
      <c r="A128" t="s">
        <v>471</v>
      </c>
      <c r="B128" t="s">
        <v>634</v>
      </c>
      <c r="C128" t="s">
        <v>40</v>
      </c>
      <c r="D128" t="s">
        <v>465</v>
      </c>
      <c r="E128" t="s">
        <v>31</v>
      </c>
      <c r="G128" t="s">
        <v>675</v>
      </c>
    </row>
    <row r="129" spans="1:7" x14ac:dyDescent="0.2">
      <c r="A129" t="s">
        <v>472</v>
      </c>
      <c r="B129" t="s">
        <v>634</v>
      </c>
      <c r="C129" t="s">
        <v>40</v>
      </c>
      <c r="D129" t="s">
        <v>465</v>
      </c>
      <c r="E129" t="s">
        <v>31</v>
      </c>
      <c r="G129" t="s">
        <v>675</v>
      </c>
    </row>
    <row r="130" spans="1:7" x14ac:dyDescent="0.2">
      <c r="A130" t="s">
        <v>270</v>
      </c>
      <c r="B130" t="s">
        <v>634</v>
      </c>
      <c r="C130" t="s">
        <v>130</v>
      </c>
      <c r="D130" t="s">
        <v>146</v>
      </c>
      <c r="E130" t="s">
        <v>31</v>
      </c>
      <c r="G130" t="s">
        <v>678</v>
      </c>
    </row>
    <row r="131" spans="1:7" x14ac:dyDescent="0.2">
      <c r="A131" t="s">
        <v>274</v>
      </c>
      <c r="B131" t="s">
        <v>634</v>
      </c>
      <c r="C131" t="s">
        <v>130</v>
      </c>
      <c r="D131" t="s">
        <v>146</v>
      </c>
      <c r="E131" t="s">
        <v>31</v>
      </c>
      <c r="G131" t="s">
        <v>678</v>
      </c>
    </row>
    <row r="132" spans="1:7" x14ac:dyDescent="0.2">
      <c r="A132" t="s">
        <v>271</v>
      </c>
      <c r="B132" t="s">
        <v>634</v>
      </c>
      <c r="C132" t="s">
        <v>130</v>
      </c>
      <c r="D132" t="s">
        <v>146</v>
      </c>
      <c r="E132" t="s">
        <v>31</v>
      </c>
      <c r="G132" t="s">
        <v>678</v>
      </c>
    </row>
    <row r="133" spans="1:7" x14ac:dyDescent="0.2">
      <c r="A133" t="s">
        <v>473</v>
      </c>
      <c r="B133" t="s">
        <v>634</v>
      </c>
      <c r="C133" t="s">
        <v>130</v>
      </c>
      <c r="D133" t="s">
        <v>356</v>
      </c>
      <c r="E133" t="s">
        <v>31</v>
      </c>
      <c r="G133" t="s">
        <v>635</v>
      </c>
    </row>
    <row r="134" spans="1:7" x14ac:dyDescent="0.2">
      <c r="A134" t="s">
        <v>155</v>
      </c>
      <c r="B134" t="s">
        <v>637</v>
      </c>
      <c r="C134" t="s">
        <v>87</v>
      </c>
      <c r="D134" t="s">
        <v>96</v>
      </c>
      <c r="E134" t="s">
        <v>31</v>
      </c>
      <c r="G134" t="s">
        <v>642</v>
      </c>
    </row>
    <row r="135" spans="1:7" x14ac:dyDescent="0.2">
      <c r="A135" t="s">
        <v>220</v>
      </c>
      <c r="B135" t="s">
        <v>634</v>
      </c>
      <c r="C135" t="s">
        <v>87</v>
      </c>
      <c r="D135" t="s">
        <v>221</v>
      </c>
      <c r="E135" t="s">
        <v>222</v>
      </c>
      <c r="F135" t="s">
        <v>223</v>
      </c>
      <c r="G135" t="s">
        <v>679</v>
      </c>
    </row>
    <row r="136" spans="1:7" x14ac:dyDescent="0.2">
      <c r="A136" t="s">
        <v>474</v>
      </c>
      <c r="B136" t="s">
        <v>634</v>
      </c>
      <c r="C136" t="s">
        <v>79</v>
      </c>
      <c r="D136" t="s">
        <v>80</v>
      </c>
      <c r="E136" t="s">
        <v>31</v>
      </c>
      <c r="G136" t="s">
        <v>636</v>
      </c>
    </row>
    <row r="137" spans="1:7" x14ac:dyDescent="0.2">
      <c r="A137" t="s">
        <v>227</v>
      </c>
      <c r="B137" t="s">
        <v>634</v>
      </c>
      <c r="C137" t="s">
        <v>40</v>
      </c>
      <c r="D137" t="s">
        <v>228</v>
      </c>
      <c r="E137" t="s">
        <v>31</v>
      </c>
      <c r="G137" t="s">
        <v>680</v>
      </c>
    </row>
    <row r="138" spans="1:7" x14ac:dyDescent="0.2">
      <c r="A138" t="s">
        <v>475</v>
      </c>
      <c r="B138" t="s">
        <v>637</v>
      </c>
      <c r="C138" t="s">
        <v>130</v>
      </c>
      <c r="D138" t="s">
        <v>346</v>
      </c>
      <c r="E138" t="s">
        <v>31</v>
      </c>
      <c r="G138" t="s">
        <v>681</v>
      </c>
    </row>
    <row r="139" spans="1:7" x14ac:dyDescent="0.2">
      <c r="A139" t="s">
        <v>476</v>
      </c>
      <c r="B139" t="s">
        <v>637</v>
      </c>
      <c r="C139" t="s">
        <v>130</v>
      </c>
      <c r="D139" t="s">
        <v>346</v>
      </c>
      <c r="E139" t="s">
        <v>31</v>
      </c>
      <c r="G139" t="s">
        <v>681</v>
      </c>
    </row>
    <row r="140" spans="1:7" x14ac:dyDescent="0.2">
      <c r="A140" t="s">
        <v>477</v>
      </c>
      <c r="B140" t="s">
        <v>637</v>
      </c>
      <c r="C140" t="s">
        <v>130</v>
      </c>
      <c r="D140" t="s">
        <v>346</v>
      </c>
      <c r="E140" t="s">
        <v>31</v>
      </c>
      <c r="G140" t="s">
        <v>681</v>
      </c>
    </row>
    <row r="141" spans="1:7" x14ac:dyDescent="0.2">
      <c r="A141" t="s">
        <v>478</v>
      </c>
      <c r="B141" t="s">
        <v>637</v>
      </c>
      <c r="C141" t="s">
        <v>130</v>
      </c>
      <c r="D141" t="s">
        <v>346</v>
      </c>
      <c r="E141" t="s">
        <v>31</v>
      </c>
      <c r="G141" t="s">
        <v>681</v>
      </c>
    </row>
    <row r="142" spans="1:7" x14ac:dyDescent="0.2">
      <c r="A142" t="s">
        <v>479</v>
      </c>
      <c r="B142" t="s">
        <v>634</v>
      </c>
      <c r="C142" t="s">
        <v>130</v>
      </c>
      <c r="D142" t="s">
        <v>346</v>
      </c>
      <c r="E142" t="s">
        <v>31</v>
      </c>
      <c r="G142" t="s">
        <v>681</v>
      </c>
    </row>
    <row r="143" spans="1:7" x14ac:dyDescent="0.2">
      <c r="A143" t="s">
        <v>480</v>
      </c>
      <c r="B143" t="s">
        <v>634</v>
      </c>
      <c r="C143" t="s">
        <v>130</v>
      </c>
      <c r="D143" t="s">
        <v>346</v>
      </c>
      <c r="E143" t="s">
        <v>31</v>
      </c>
      <c r="G143" t="s">
        <v>681</v>
      </c>
    </row>
    <row r="144" spans="1:7" x14ac:dyDescent="0.2">
      <c r="A144" t="s">
        <v>481</v>
      </c>
      <c r="B144" t="s">
        <v>637</v>
      </c>
      <c r="C144" t="s">
        <v>130</v>
      </c>
      <c r="D144" t="s">
        <v>346</v>
      </c>
      <c r="E144" t="s">
        <v>31</v>
      </c>
      <c r="G144" t="s">
        <v>681</v>
      </c>
    </row>
    <row r="145" spans="1:7" x14ac:dyDescent="0.2">
      <c r="A145" t="s">
        <v>482</v>
      </c>
      <c r="B145" t="s">
        <v>634</v>
      </c>
      <c r="C145" t="s">
        <v>130</v>
      </c>
      <c r="D145" t="s">
        <v>346</v>
      </c>
      <c r="E145" t="s">
        <v>31</v>
      </c>
      <c r="G145" t="s">
        <v>681</v>
      </c>
    </row>
    <row r="146" spans="1:7" x14ac:dyDescent="0.2">
      <c r="A146" t="s">
        <v>483</v>
      </c>
      <c r="B146" t="s">
        <v>634</v>
      </c>
      <c r="C146" t="s">
        <v>130</v>
      </c>
      <c r="D146" t="s">
        <v>346</v>
      </c>
      <c r="E146" t="s">
        <v>31</v>
      </c>
      <c r="G146" t="s">
        <v>681</v>
      </c>
    </row>
    <row r="147" spans="1:7" x14ac:dyDescent="0.2">
      <c r="A147" t="s">
        <v>170</v>
      </c>
      <c r="B147" t="s">
        <v>634</v>
      </c>
      <c r="C147" t="s">
        <v>87</v>
      </c>
      <c r="D147" t="s">
        <v>96</v>
      </c>
      <c r="E147" t="s">
        <v>31</v>
      </c>
      <c r="G147" t="s">
        <v>642</v>
      </c>
    </row>
    <row r="148" spans="1:7" x14ac:dyDescent="0.2">
      <c r="A148" t="s">
        <v>74</v>
      </c>
      <c r="B148" t="s">
        <v>641</v>
      </c>
      <c r="C148" t="s">
        <v>15</v>
      </c>
      <c r="D148" t="s">
        <v>49</v>
      </c>
      <c r="E148" t="s">
        <v>31</v>
      </c>
      <c r="G148" t="s">
        <v>682</v>
      </c>
    </row>
    <row r="149" spans="1:7" x14ac:dyDescent="0.2">
      <c r="A149" t="s">
        <v>196</v>
      </c>
      <c r="B149" t="s">
        <v>634</v>
      </c>
      <c r="C149" t="s">
        <v>87</v>
      </c>
      <c r="D149" t="s">
        <v>182</v>
      </c>
      <c r="E149" t="s">
        <v>31</v>
      </c>
      <c r="G149" t="s">
        <v>657</v>
      </c>
    </row>
    <row r="150" spans="1:7" x14ac:dyDescent="0.2">
      <c r="A150" t="s">
        <v>198</v>
      </c>
      <c r="B150" t="s">
        <v>634</v>
      </c>
      <c r="C150" t="s">
        <v>87</v>
      </c>
      <c r="D150" t="s">
        <v>182</v>
      </c>
      <c r="E150" t="s">
        <v>31</v>
      </c>
      <c r="G150" t="s">
        <v>657</v>
      </c>
    </row>
    <row r="151" spans="1:7" x14ac:dyDescent="0.2">
      <c r="A151" t="s">
        <v>484</v>
      </c>
      <c r="B151" t="s">
        <v>634</v>
      </c>
      <c r="C151" t="s">
        <v>87</v>
      </c>
      <c r="D151" t="s">
        <v>182</v>
      </c>
      <c r="E151" t="s">
        <v>31</v>
      </c>
      <c r="G151" t="s">
        <v>657</v>
      </c>
    </row>
    <row r="152" spans="1:7" x14ac:dyDescent="0.2">
      <c r="A152" t="s">
        <v>197</v>
      </c>
      <c r="B152" t="s">
        <v>634</v>
      </c>
      <c r="C152" t="s">
        <v>87</v>
      </c>
      <c r="D152" t="s">
        <v>182</v>
      </c>
      <c r="E152" t="s">
        <v>31</v>
      </c>
      <c r="G152" t="s">
        <v>657</v>
      </c>
    </row>
    <row r="153" spans="1:7" x14ac:dyDescent="0.2">
      <c r="A153" t="s">
        <v>193</v>
      </c>
      <c r="B153" t="s">
        <v>634</v>
      </c>
      <c r="C153" t="s">
        <v>87</v>
      </c>
      <c r="D153" t="s">
        <v>182</v>
      </c>
      <c r="E153" t="s">
        <v>31</v>
      </c>
      <c r="G153" t="s">
        <v>657</v>
      </c>
    </row>
    <row r="154" spans="1:7" x14ac:dyDescent="0.2">
      <c r="A154" t="s">
        <v>124</v>
      </c>
      <c r="B154" t="s">
        <v>637</v>
      </c>
      <c r="C154" t="s">
        <v>87</v>
      </c>
      <c r="D154" t="s">
        <v>80</v>
      </c>
      <c r="E154" t="s">
        <v>31</v>
      </c>
      <c r="G154" t="s">
        <v>683</v>
      </c>
    </row>
    <row r="155" spans="1:7" x14ac:dyDescent="0.2">
      <c r="A155" t="s">
        <v>139</v>
      </c>
      <c r="B155" t="s">
        <v>637</v>
      </c>
      <c r="C155" t="s">
        <v>15</v>
      </c>
      <c r="D155" t="s">
        <v>80</v>
      </c>
      <c r="E155" t="s">
        <v>31</v>
      </c>
      <c r="G155" t="s">
        <v>684</v>
      </c>
    </row>
    <row r="156" spans="1:7" x14ac:dyDescent="0.2">
      <c r="A156" t="s">
        <v>158</v>
      </c>
      <c r="B156" t="s">
        <v>637</v>
      </c>
      <c r="C156" t="s">
        <v>87</v>
      </c>
      <c r="D156" t="s">
        <v>96</v>
      </c>
      <c r="E156" t="s">
        <v>31</v>
      </c>
      <c r="G156" t="s">
        <v>642</v>
      </c>
    </row>
    <row r="157" spans="1:7" x14ac:dyDescent="0.2">
      <c r="A157" t="s">
        <v>485</v>
      </c>
      <c r="B157" t="s">
        <v>634</v>
      </c>
      <c r="C157" t="s">
        <v>130</v>
      </c>
      <c r="D157" t="s">
        <v>356</v>
      </c>
      <c r="E157" t="s">
        <v>31</v>
      </c>
      <c r="G157" t="s">
        <v>635</v>
      </c>
    </row>
    <row r="158" spans="1:7" x14ac:dyDescent="0.2">
      <c r="A158" t="s">
        <v>82</v>
      </c>
      <c r="B158" t="s">
        <v>634</v>
      </c>
      <c r="C158" t="s">
        <v>15</v>
      </c>
      <c r="D158" t="s">
        <v>83</v>
      </c>
      <c r="E158" t="s">
        <v>31</v>
      </c>
      <c r="G158" t="s">
        <v>685</v>
      </c>
    </row>
    <row r="159" spans="1:7" x14ac:dyDescent="0.2">
      <c r="A159" t="s">
        <v>486</v>
      </c>
      <c r="B159" t="s">
        <v>634</v>
      </c>
      <c r="C159" t="s">
        <v>87</v>
      </c>
      <c r="D159" t="s">
        <v>487</v>
      </c>
      <c r="E159" t="s">
        <v>31</v>
      </c>
      <c r="G159" t="s">
        <v>686</v>
      </c>
    </row>
    <row r="160" spans="1:7" x14ac:dyDescent="0.2">
      <c r="A160" t="s">
        <v>488</v>
      </c>
      <c r="B160" t="s">
        <v>634</v>
      </c>
      <c r="C160" t="s">
        <v>130</v>
      </c>
      <c r="D160" t="s">
        <v>356</v>
      </c>
      <c r="E160" t="s">
        <v>31</v>
      </c>
      <c r="G160" t="s">
        <v>661</v>
      </c>
    </row>
    <row r="161" spans="1:7" x14ac:dyDescent="0.2">
      <c r="A161" t="s">
        <v>489</v>
      </c>
      <c r="B161" t="s">
        <v>634</v>
      </c>
      <c r="C161" t="s">
        <v>87</v>
      </c>
      <c r="D161" t="s">
        <v>487</v>
      </c>
      <c r="E161" t="s">
        <v>31</v>
      </c>
      <c r="G161" t="s">
        <v>686</v>
      </c>
    </row>
    <row r="162" spans="1:7" x14ac:dyDescent="0.2">
      <c r="A162" t="s">
        <v>490</v>
      </c>
      <c r="B162" t="s">
        <v>634</v>
      </c>
      <c r="C162" t="s">
        <v>130</v>
      </c>
      <c r="D162" t="s">
        <v>356</v>
      </c>
      <c r="E162" t="s">
        <v>31</v>
      </c>
      <c r="G162" t="s">
        <v>661</v>
      </c>
    </row>
    <row r="163" spans="1:7" x14ac:dyDescent="0.2">
      <c r="A163" t="s">
        <v>491</v>
      </c>
      <c r="B163" t="s">
        <v>634</v>
      </c>
      <c r="C163" t="s">
        <v>87</v>
      </c>
      <c r="D163" t="s">
        <v>487</v>
      </c>
      <c r="E163" t="s">
        <v>31</v>
      </c>
      <c r="G163" t="s">
        <v>686</v>
      </c>
    </row>
    <row r="164" spans="1:7" x14ac:dyDescent="0.2">
      <c r="A164" t="s">
        <v>492</v>
      </c>
      <c r="B164" t="s">
        <v>634</v>
      </c>
      <c r="C164" t="s">
        <v>87</v>
      </c>
      <c r="D164" t="s">
        <v>487</v>
      </c>
      <c r="E164" t="s">
        <v>31</v>
      </c>
      <c r="G164" t="s">
        <v>686</v>
      </c>
    </row>
    <row r="165" spans="1:7" x14ac:dyDescent="0.2">
      <c r="A165" t="s">
        <v>493</v>
      </c>
      <c r="B165" t="s">
        <v>634</v>
      </c>
      <c r="C165" t="s">
        <v>87</v>
      </c>
      <c r="D165" t="s">
        <v>487</v>
      </c>
      <c r="E165" t="s">
        <v>31</v>
      </c>
      <c r="G165" t="s">
        <v>686</v>
      </c>
    </row>
    <row r="166" spans="1:7" x14ac:dyDescent="0.2">
      <c r="A166" t="s">
        <v>494</v>
      </c>
      <c r="B166" t="s">
        <v>634</v>
      </c>
      <c r="C166" t="s">
        <v>87</v>
      </c>
      <c r="D166" t="s">
        <v>487</v>
      </c>
      <c r="E166" t="s">
        <v>31</v>
      </c>
      <c r="G166" t="s">
        <v>686</v>
      </c>
    </row>
    <row r="167" spans="1:7" x14ac:dyDescent="0.2">
      <c r="A167" t="s">
        <v>495</v>
      </c>
      <c r="B167" t="s">
        <v>634</v>
      </c>
      <c r="C167" t="s">
        <v>87</v>
      </c>
      <c r="D167" t="s">
        <v>487</v>
      </c>
      <c r="E167" t="s">
        <v>31</v>
      </c>
      <c r="G167" t="s">
        <v>686</v>
      </c>
    </row>
    <row r="168" spans="1:7" x14ac:dyDescent="0.2">
      <c r="A168" t="s">
        <v>496</v>
      </c>
      <c r="B168" t="s">
        <v>634</v>
      </c>
      <c r="C168" t="s">
        <v>87</v>
      </c>
      <c r="D168" t="s">
        <v>487</v>
      </c>
      <c r="E168" t="s">
        <v>31</v>
      </c>
      <c r="G168" t="s">
        <v>686</v>
      </c>
    </row>
    <row r="169" spans="1:7" x14ac:dyDescent="0.2">
      <c r="A169" t="s">
        <v>497</v>
      </c>
      <c r="B169" t="s">
        <v>634</v>
      </c>
      <c r="C169" t="s">
        <v>87</v>
      </c>
      <c r="D169" t="s">
        <v>487</v>
      </c>
      <c r="E169" t="s">
        <v>31</v>
      </c>
      <c r="G169" t="s">
        <v>686</v>
      </c>
    </row>
    <row r="170" spans="1:7" x14ac:dyDescent="0.2">
      <c r="A170" t="s">
        <v>498</v>
      </c>
      <c r="B170" t="s">
        <v>634</v>
      </c>
      <c r="C170" t="s">
        <v>87</v>
      </c>
      <c r="D170" t="s">
        <v>487</v>
      </c>
      <c r="E170" t="s">
        <v>31</v>
      </c>
      <c r="G170" t="s">
        <v>686</v>
      </c>
    </row>
    <row r="171" spans="1:7" x14ac:dyDescent="0.2">
      <c r="A171" t="s">
        <v>499</v>
      </c>
      <c r="B171" t="s">
        <v>634</v>
      </c>
      <c r="C171" t="s">
        <v>87</v>
      </c>
      <c r="D171" t="s">
        <v>487</v>
      </c>
      <c r="E171" t="s">
        <v>31</v>
      </c>
      <c r="G171" t="s">
        <v>686</v>
      </c>
    </row>
    <row r="172" spans="1:7" x14ac:dyDescent="0.2">
      <c r="A172" t="s">
        <v>500</v>
      </c>
      <c r="B172" t="s">
        <v>634</v>
      </c>
      <c r="C172" t="s">
        <v>87</v>
      </c>
      <c r="D172" t="s">
        <v>487</v>
      </c>
      <c r="E172" t="s">
        <v>31</v>
      </c>
      <c r="G172" t="s">
        <v>686</v>
      </c>
    </row>
    <row r="173" spans="1:7" x14ac:dyDescent="0.2">
      <c r="A173" t="s">
        <v>501</v>
      </c>
      <c r="B173" t="s">
        <v>637</v>
      </c>
      <c r="C173" t="s">
        <v>87</v>
      </c>
      <c r="D173" t="s">
        <v>487</v>
      </c>
      <c r="E173" t="s">
        <v>31</v>
      </c>
      <c r="G173" t="s">
        <v>686</v>
      </c>
    </row>
    <row r="174" spans="1:7" x14ac:dyDescent="0.2">
      <c r="A174" t="s">
        <v>502</v>
      </c>
      <c r="B174" t="s">
        <v>634</v>
      </c>
      <c r="C174" t="s">
        <v>87</v>
      </c>
      <c r="D174" t="s">
        <v>487</v>
      </c>
      <c r="E174" t="s">
        <v>31</v>
      </c>
      <c r="G174" t="s">
        <v>686</v>
      </c>
    </row>
    <row r="175" spans="1:7" x14ac:dyDescent="0.2">
      <c r="A175" t="s">
        <v>503</v>
      </c>
      <c r="B175" t="s">
        <v>634</v>
      </c>
      <c r="C175" t="s">
        <v>130</v>
      </c>
      <c r="D175" t="s">
        <v>356</v>
      </c>
      <c r="E175" t="s">
        <v>31</v>
      </c>
      <c r="G175" t="s">
        <v>661</v>
      </c>
    </row>
    <row r="176" spans="1:7" x14ac:dyDescent="0.2">
      <c r="A176" t="s">
        <v>504</v>
      </c>
      <c r="B176" t="s">
        <v>637</v>
      </c>
      <c r="C176" t="s">
        <v>87</v>
      </c>
      <c r="D176" t="s">
        <v>487</v>
      </c>
      <c r="E176" t="s">
        <v>31</v>
      </c>
      <c r="G176" t="s">
        <v>686</v>
      </c>
    </row>
    <row r="177" spans="1:7" x14ac:dyDescent="0.2">
      <c r="A177" t="s">
        <v>505</v>
      </c>
      <c r="B177" t="s">
        <v>634</v>
      </c>
      <c r="C177" t="s">
        <v>87</v>
      </c>
      <c r="D177" t="s">
        <v>487</v>
      </c>
      <c r="E177" t="s">
        <v>31</v>
      </c>
      <c r="G177" t="s">
        <v>686</v>
      </c>
    </row>
    <row r="178" spans="1:7" x14ac:dyDescent="0.2">
      <c r="A178" t="s">
        <v>506</v>
      </c>
      <c r="B178" t="s">
        <v>634</v>
      </c>
      <c r="C178" t="s">
        <v>87</v>
      </c>
      <c r="D178" t="s">
        <v>487</v>
      </c>
      <c r="E178" t="s">
        <v>31</v>
      </c>
      <c r="G178" t="s">
        <v>686</v>
      </c>
    </row>
    <row r="179" spans="1:7" x14ac:dyDescent="0.2">
      <c r="A179" t="s">
        <v>507</v>
      </c>
      <c r="B179" t="s">
        <v>637</v>
      </c>
      <c r="C179" t="s">
        <v>87</v>
      </c>
      <c r="D179" t="s">
        <v>487</v>
      </c>
      <c r="E179" t="s">
        <v>31</v>
      </c>
      <c r="G179" t="s">
        <v>686</v>
      </c>
    </row>
    <row r="180" spans="1:7" x14ac:dyDescent="0.2">
      <c r="A180" t="s">
        <v>508</v>
      </c>
      <c r="B180" t="s">
        <v>634</v>
      </c>
      <c r="C180" t="s">
        <v>87</v>
      </c>
      <c r="D180" t="s">
        <v>487</v>
      </c>
      <c r="E180" t="s">
        <v>31</v>
      </c>
      <c r="G180" t="s">
        <v>686</v>
      </c>
    </row>
    <row r="181" spans="1:7" x14ac:dyDescent="0.2">
      <c r="A181" t="s">
        <v>509</v>
      </c>
      <c r="B181" t="s">
        <v>634</v>
      </c>
      <c r="C181" t="s">
        <v>87</v>
      </c>
      <c r="D181" t="s">
        <v>487</v>
      </c>
      <c r="E181" t="s">
        <v>31</v>
      </c>
      <c r="G181" t="s">
        <v>686</v>
      </c>
    </row>
    <row r="182" spans="1:7" x14ac:dyDescent="0.2">
      <c r="A182" t="s">
        <v>510</v>
      </c>
      <c r="B182" t="s">
        <v>637</v>
      </c>
      <c r="C182" t="s">
        <v>87</v>
      </c>
      <c r="D182" t="s">
        <v>487</v>
      </c>
      <c r="E182" t="s">
        <v>31</v>
      </c>
      <c r="G182" t="s">
        <v>686</v>
      </c>
    </row>
    <row r="183" spans="1:7" x14ac:dyDescent="0.2">
      <c r="A183" t="s">
        <v>511</v>
      </c>
      <c r="B183" t="s">
        <v>634</v>
      </c>
      <c r="C183" t="s">
        <v>87</v>
      </c>
      <c r="D183" t="s">
        <v>487</v>
      </c>
      <c r="E183" t="s">
        <v>31</v>
      </c>
      <c r="G183" t="s">
        <v>686</v>
      </c>
    </row>
    <row r="184" spans="1:7" x14ac:dyDescent="0.2">
      <c r="A184" t="s">
        <v>512</v>
      </c>
      <c r="B184" t="s">
        <v>634</v>
      </c>
      <c r="C184" t="s">
        <v>79</v>
      </c>
      <c r="D184" t="s">
        <v>80</v>
      </c>
      <c r="E184" t="s">
        <v>31</v>
      </c>
      <c r="G184" t="s">
        <v>636</v>
      </c>
    </row>
    <row r="185" spans="1:7" x14ac:dyDescent="0.2">
      <c r="A185" t="s">
        <v>513</v>
      </c>
      <c r="B185" t="s">
        <v>634</v>
      </c>
      <c r="C185" t="s">
        <v>87</v>
      </c>
      <c r="D185" t="s">
        <v>487</v>
      </c>
      <c r="E185" t="s">
        <v>31</v>
      </c>
      <c r="G185" t="s">
        <v>686</v>
      </c>
    </row>
    <row r="186" spans="1:7" x14ac:dyDescent="0.2">
      <c r="A186" t="s">
        <v>514</v>
      </c>
      <c r="B186" t="s">
        <v>634</v>
      </c>
      <c r="C186" t="s">
        <v>87</v>
      </c>
      <c r="D186" t="s">
        <v>487</v>
      </c>
      <c r="E186" t="s">
        <v>31</v>
      </c>
      <c r="G186" t="s">
        <v>686</v>
      </c>
    </row>
    <row r="187" spans="1:7" x14ac:dyDescent="0.2">
      <c r="A187" t="s">
        <v>515</v>
      </c>
      <c r="B187" t="s">
        <v>634</v>
      </c>
      <c r="C187" t="s">
        <v>130</v>
      </c>
      <c r="D187" t="s">
        <v>356</v>
      </c>
      <c r="E187" t="s">
        <v>31</v>
      </c>
      <c r="G187" t="s">
        <v>661</v>
      </c>
    </row>
    <row r="188" spans="1:7" x14ac:dyDescent="0.2">
      <c r="A188" t="s">
        <v>516</v>
      </c>
      <c r="B188" t="s">
        <v>634</v>
      </c>
      <c r="C188" t="s">
        <v>130</v>
      </c>
      <c r="D188" t="s">
        <v>356</v>
      </c>
      <c r="E188" t="s">
        <v>31</v>
      </c>
      <c r="G188" t="s">
        <v>661</v>
      </c>
    </row>
    <row r="189" spans="1:7" x14ac:dyDescent="0.2">
      <c r="A189" t="s">
        <v>517</v>
      </c>
      <c r="B189" t="s">
        <v>634</v>
      </c>
      <c r="C189" t="s">
        <v>87</v>
      </c>
      <c r="D189" t="s">
        <v>487</v>
      </c>
      <c r="E189" t="s">
        <v>31</v>
      </c>
      <c r="G189" t="s">
        <v>686</v>
      </c>
    </row>
    <row r="190" spans="1:7" x14ac:dyDescent="0.2">
      <c r="A190" t="s">
        <v>518</v>
      </c>
      <c r="B190" t="s">
        <v>634</v>
      </c>
      <c r="C190" t="s">
        <v>87</v>
      </c>
      <c r="D190" t="s">
        <v>487</v>
      </c>
      <c r="E190" t="s">
        <v>31</v>
      </c>
      <c r="G190" t="s">
        <v>686</v>
      </c>
    </row>
    <row r="191" spans="1:7" x14ac:dyDescent="0.2">
      <c r="A191" t="s">
        <v>519</v>
      </c>
      <c r="B191" t="s">
        <v>634</v>
      </c>
      <c r="C191" t="s">
        <v>87</v>
      </c>
      <c r="D191" t="s">
        <v>487</v>
      </c>
      <c r="E191" t="s">
        <v>31</v>
      </c>
      <c r="G191" t="s">
        <v>686</v>
      </c>
    </row>
    <row r="192" spans="1:7" x14ac:dyDescent="0.2">
      <c r="A192" t="s">
        <v>520</v>
      </c>
      <c r="B192" t="s">
        <v>634</v>
      </c>
      <c r="C192" t="s">
        <v>87</v>
      </c>
      <c r="D192" t="s">
        <v>487</v>
      </c>
      <c r="E192" t="s">
        <v>31</v>
      </c>
      <c r="G192" t="s">
        <v>686</v>
      </c>
    </row>
    <row r="193" spans="1:7" x14ac:dyDescent="0.2">
      <c r="A193" t="s">
        <v>521</v>
      </c>
      <c r="B193" t="s">
        <v>634</v>
      </c>
      <c r="C193" t="s">
        <v>79</v>
      </c>
      <c r="D193" t="s">
        <v>80</v>
      </c>
      <c r="E193" t="s">
        <v>31</v>
      </c>
      <c r="G193" t="s">
        <v>636</v>
      </c>
    </row>
    <row r="194" spans="1:7" x14ac:dyDescent="0.2">
      <c r="A194" t="s">
        <v>522</v>
      </c>
      <c r="B194" t="s">
        <v>641</v>
      </c>
      <c r="C194" t="s">
        <v>87</v>
      </c>
      <c r="D194" t="s">
        <v>314</v>
      </c>
      <c r="E194" t="s">
        <v>31</v>
      </c>
      <c r="G194" t="s">
        <v>687</v>
      </c>
    </row>
    <row r="195" spans="1:7" x14ac:dyDescent="0.2">
      <c r="A195" t="s">
        <v>523</v>
      </c>
      <c r="B195" t="s">
        <v>641</v>
      </c>
      <c r="C195" t="s">
        <v>87</v>
      </c>
      <c r="D195" t="s">
        <v>487</v>
      </c>
      <c r="E195" t="s">
        <v>31</v>
      </c>
      <c r="G195" t="s">
        <v>688</v>
      </c>
    </row>
    <row r="196" spans="1:7" x14ac:dyDescent="0.2">
      <c r="A196" t="s">
        <v>172</v>
      </c>
      <c r="B196" t="s">
        <v>637</v>
      </c>
      <c r="C196" t="s">
        <v>15</v>
      </c>
      <c r="D196" t="s">
        <v>166</v>
      </c>
      <c r="E196" t="s">
        <v>31</v>
      </c>
      <c r="G196" t="s">
        <v>673</v>
      </c>
    </row>
    <row r="197" spans="1:7" x14ac:dyDescent="0.2">
      <c r="A197" t="s">
        <v>524</v>
      </c>
      <c r="B197" t="s">
        <v>634</v>
      </c>
      <c r="C197" t="s">
        <v>87</v>
      </c>
      <c r="D197" t="s">
        <v>107</v>
      </c>
      <c r="E197" t="s">
        <v>31</v>
      </c>
      <c r="G197" t="s">
        <v>643</v>
      </c>
    </row>
    <row r="198" spans="1:7" x14ac:dyDescent="0.2">
      <c r="A198" t="s">
        <v>140</v>
      </c>
      <c r="B198" t="s">
        <v>634</v>
      </c>
      <c r="C198" t="s">
        <v>87</v>
      </c>
      <c r="D198" t="s">
        <v>107</v>
      </c>
      <c r="E198" t="s">
        <v>31</v>
      </c>
      <c r="G198" t="s">
        <v>643</v>
      </c>
    </row>
    <row r="199" spans="1:7" x14ac:dyDescent="0.2">
      <c r="A199" t="s">
        <v>525</v>
      </c>
      <c r="B199" t="s">
        <v>634</v>
      </c>
      <c r="C199" t="s">
        <v>130</v>
      </c>
      <c r="D199" t="s">
        <v>356</v>
      </c>
      <c r="E199" t="s">
        <v>31</v>
      </c>
      <c r="G199" t="s">
        <v>661</v>
      </c>
    </row>
    <row r="200" spans="1:7" x14ac:dyDescent="0.2">
      <c r="A200" t="s">
        <v>526</v>
      </c>
      <c r="B200" t="s">
        <v>637</v>
      </c>
      <c r="C200" t="s">
        <v>87</v>
      </c>
      <c r="D200" t="s">
        <v>96</v>
      </c>
      <c r="E200" t="s">
        <v>31</v>
      </c>
      <c r="G200" t="s">
        <v>642</v>
      </c>
    </row>
    <row r="201" spans="1:7" x14ac:dyDescent="0.2">
      <c r="A201" t="s">
        <v>178</v>
      </c>
      <c r="B201" t="s">
        <v>637</v>
      </c>
      <c r="C201" t="s">
        <v>87</v>
      </c>
      <c r="D201" t="s">
        <v>96</v>
      </c>
      <c r="E201" t="s">
        <v>31</v>
      </c>
      <c r="G201" t="s">
        <v>642</v>
      </c>
    </row>
    <row r="202" spans="1:7" x14ac:dyDescent="0.2">
      <c r="A202" t="s">
        <v>527</v>
      </c>
      <c r="B202" t="s">
        <v>637</v>
      </c>
      <c r="C202" t="s">
        <v>87</v>
      </c>
      <c r="D202" t="s">
        <v>96</v>
      </c>
      <c r="E202" t="s">
        <v>31</v>
      </c>
      <c r="G202" t="s">
        <v>642</v>
      </c>
    </row>
    <row r="203" spans="1:7" x14ac:dyDescent="0.2">
      <c r="A203" t="s">
        <v>528</v>
      </c>
      <c r="B203" t="s">
        <v>634</v>
      </c>
      <c r="C203" t="s">
        <v>87</v>
      </c>
      <c r="D203" t="s">
        <v>154</v>
      </c>
      <c r="E203" t="s">
        <v>31</v>
      </c>
      <c r="G203" t="s">
        <v>640</v>
      </c>
    </row>
    <row r="204" spans="1:7" x14ac:dyDescent="0.2">
      <c r="A204" t="s">
        <v>529</v>
      </c>
      <c r="B204" t="s">
        <v>634</v>
      </c>
      <c r="C204" t="s">
        <v>87</v>
      </c>
      <c r="D204" t="s">
        <v>146</v>
      </c>
      <c r="E204" t="s">
        <v>31</v>
      </c>
      <c r="G204" t="s">
        <v>639</v>
      </c>
    </row>
    <row r="205" spans="1:7" x14ac:dyDescent="0.2">
      <c r="A205" t="s">
        <v>345</v>
      </c>
      <c r="B205" t="s">
        <v>634</v>
      </c>
      <c r="C205" t="s">
        <v>130</v>
      </c>
      <c r="D205" t="s">
        <v>346</v>
      </c>
      <c r="E205" t="s">
        <v>31</v>
      </c>
      <c r="G205" t="s">
        <v>681</v>
      </c>
    </row>
    <row r="206" spans="1:7" x14ac:dyDescent="0.2">
      <c r="A206" t="s">
        <v>530</v>
      </c>
      <c r="B206" t="s">
        <v>634</v>
      </c>
      <c r="C206" t="s">
        <v>278</v>
      </c>
      <c r="D206" t="s">
        <v>279</v>
      </c>
      <c r="E206" t="s">
        <v>31</v>
      </c>
      <c r="G206" t="s">
        <v>671</v>
      </c>
    </row>
    <row r="207" spans="1:7" x14ac:dyDescent="0.2">
      <c r="A207" t="s">
        <v>531</v>
      </c>
      <c r="B207" t="s">
        <v>634</v>
      </c>
      <c r="C207" t="s">
        <v>278</v>
      </c>
      <c r="D207" t="s">
        <v>279</v>
      </c>
      <c r="E207" t="s">
        <v>31</v>
      </c>
      <c r="G207" t="s">
        <v>671</v>
      </c>
    </row>
    <row r="208" spans="1:7" x14ac:dyDescent="0.2">
      <c r="A208" t="s">
        <v>532</v>
      </c>
      <c r="B208" t="s">
        <v>634</v>
      </c>
      <c r="C208" t="s">
        <v>278</v>
      </c>
      <c r="D208" t="s">
        <v>533</v>
      </c>
      <c r="E208" t="s">
        <v>31</v>
      </c>
      <c r="G208" t="s">
        <v>689</v>
      </c>
    </row>
    <row r="209" spans="1:7" x14ac:dyDescent="0.2">
      <c r="A209" t="s">
        <v>534</v>
      </c>
      <c r="B209" t="s">
        <v>634</v>
      </c>
      <c r="C209" t="s">
        <v>278</v>
      </c>
      <c r="D209" t="s">
        <v>533</v>
      </c>
      <c r="E209" t="s">
        <v>31</v>
      </c>
      <c r="G209" t="s">
        <v>689</v>
      </c>
    </row>
    <row r="210" spans="1:7" x14ac:dyDescent="0.2">
      <c r="A210" t="s">
        <v>535</v>
      </c>
      <c r="B210" t="s">
        <v>634</v>
      </c>
      <c r="C210" t="s">
        <v>278</v>
      </c>
      <c r="D210" t="s">
        <v>279</v>
      </c>
      <c r="E210" t="s">
        <v>31</v>
      </c>
      <c r="G210" t="s">
        <v>671</v>
      </c>
    </row>
    <row r="211" spans="1:7" x14ac:dyDescent="0.2">
      <c r="A211" t="s">
        <v>536</v>
      </c>
      <c r="B211" t="s">
        <v>634</v>
      </c>
      <c r="C211" t="s">
        <v>278</v>
      </c>
      <c r="D211" t="s">
        <v>533</v>
      </c>
      <c r="E211" t="s">
        <v>31</v>
      </c>
      <c r="G211" t="s">
        <v>689</v>
      </c>
    </row>
    <row r="212" spans="1:7" x14ac:dyDescent="0.2">
      <c r="A212" t="s">
        <v>537</v>
      </c>
      <c r="B212" t="s">
        <v>637</v>
      </c>
      <c r="C212" t="s">
        <v>87</v>
      </c>
      <c r="D212" t="s">
        <v>120</v>
      </c>
      <c r="E212" t="s">
        <v>31</v>
      </c>
      <c r="G212" t="s">
        <v>638</v>
      </c>
    </row>
    <row r="213" spans="1:7" x14ac:dyDescent="0.2">
      <c r="A213" t="s">
        <v>538</v>
      </c>
      <c r="B213" t="s">
        <v>634</v>
      </c>
      <c r="C213" t="s">
        <v>130</v>
      </c>
      <c r="D213" t="s">
        <v>356</v>
      </c>
      <c r="E213" t="s">
        <v>31</v>
      </c>
      <c r="G213" t="s">
        <v>661</v>
      </c>
    </row>
    <row r="214" spans="1:7" x14ac:dyDescent="0.2">
      <c r="A214" t="s">
        <v>285</v>
      </c>
      <c r="B214" t="s">
        <v>634</v>
      </c>
      <c r="C214" t="s">
        <v>278</v>
      </c>
      <c r="D214" t="s">
        <v>279</v>
      </c>
      <c r="E214" t="s">
        <v>31</v>
      </c>
      <c r="G214" t="s">
        <v>671</v>
      </c>
    </row>
    <row r="215" spans="1:7" x14ac:dyDescent="0.2">
      <c r="A215" t="s">
        <v>281</v>
      </c>
      <c r="B215" t="s">
        <v>634</v>
      </c>
      <c r="C215" t="s">
        <v>278</v>
      </c>
      <c r="D215" t="s">
        <v>80</v>
      </c>
      <c r="E215" t="s">
        <v>31</v>
      </c>
      <c r="G215" t="s">
        <v>690</v>
      </c>
    </row>
    <row r="216" spans="1:7" x14ac:dyDescent="0.2">
      <c r="A216" t="s">
        <v>287</v>
      </c>
      <c r="B216" t="s">
        <v>634</v>
      </c>
      <c r="C216" t="s">
        <v>278</v>
      </c>
      <c r="D216" t="s">
        <v>279</v>
      </c>
      <c r="E216" t="s">
        <v>31</v>
      </c>
      <c r="G216" t="s">
        <v>671</v>
      </c>
    </row>
    <row r="217" spans="1:7" x14ac:dyDescent="0.2">
      <c r="A217" t="s">
        <v>292</v>
      </c>
      <c r="B217" t="s">
        <v>634</v>
      </c>
      <c r="C217" t="s">
        <v>278</v>
      </c>
      <c r="D217" t="s">
        <v>279</v>
      </c>
      <c r="E217" t="s">
        <v>31</v>
      </c>
      <c r="G217" t="s">
        <v>671</v>
      </c>
    </row>
    <row r="218" spans="1:7" x14ac:dyDescent="0.2">
      <c r="A218" t="s">
        <v>290</v>
      </c>
      <c r="B218" t="s">
        <v>634</v>
      </c>
      <c r="C218" t="s">
        <v>278</v>
      </c>
      <c r="D218" t="s">
        <v>279</v>
      </c>
      <c r="E218" t="s">
        <v>31</v>
      </c>
      <c r="G218" t="s">
        <v>671</v>
      </c>
    </row>
    <row r="219" spans="1:7" x14ac:dyDescent="0.2">
      <c r="A219" t="s">
        <v>30</v>
      </c>
      <c r="B219" t="s">
        <v>634</v>
      </c>
      <c r="C219" t="s">
        <v>15</v>
      </c>
      <c r="D219" t="s">
        <v>16</v>
      </c>
      <c r="E219" t="s">
        <v>31</v>
      </c>
      <c r="F219" t="s">
        <v>32</v>
      </c>
      <c r="G219" t="s">
        <v>691</v>
      </c>
    </row>
    <row r="220" spans="1:7" x14ac:dyDescent="0.2">
      <c r="A220" t="s">
        <v>539</v>
      </c>
      <c r="B220" t="s">
        <v>634</v>
      </c>
      <c r="C220" t="s">
        <v>15</v>
      </c>
      <c r="D220" t="s">
        <v>54</v>
      </c>
      <c r="E220" t="s">
        <v>31</v>
      </c>
      <c r="G220" t="s">
        <v>692</v>
      </c>
    </row>
    <row r="221" spans="1:7" x14ac:dyDescent="0.2">
      <c r="A221" t="s">
        <v>540</v>
      </c>
      <c r="B221" t="s">
        <v>634</v>
      </c>
      <c r="C221" t="s">
        <v>87</v>
      </c>
      <c r="D221" t="s">
        <v>541</v>
      </c>
      <c r="E221" t="s">
        <v>31</v>
      </c>
      <c r="G221" t="s">
        <v>693</v>
      </c>
    </row>
    <row r="222" spans="1:7" x14ac:dyDescent="0.2">
      <c r="A222" t="s">
        <v>542</v>
      </c>
      <c r="B222" t="s">
        <v>634</v>
      </c>
      <c r="C222" t="s">
        <v>87</v>
      </c>
      <c r="D222" t="s">
        <v>541</v>
      </c>
      <c r="E222" t="s">
        <v>31</v>
      </c>
      <c r="G222" t="s">
        <v>693</v>
      </c>
    </row>
    <row r="223" spans="1:7" x14ac:dyDescent="0.2">
      <c r="A223" t="s">
        <v>543</v>
      </c>
      <c r="B223" t="s">
        <v>634</v>
      </c>
      <c r="C223" t="s">
        <v>15</v>
      </c>
      <c r="D223" t="s">
        <v>54</v>
      </c>
      <c r="E223" t="s">
        <v>31</v>
      </c>
      <c r="G223" t="s">
        <v>694</v>
      </c>
    </row>
    <row r="224" spans="1:7" x14ac:dyDescent="0.2">
      <c r="A224" t="s">
        <v>544</v>
      </c>
      <c r="B224" t="s">
        <v>634</v>
      </c>
      <c r="C224" t="s">
        <v>15</v>
      </c>
      <c r="D224" t="s">
        <v>54</v>
      </c>
      <c r="E224" t="s">
        <v>31</v>
      </c>
      <c r="G224" t="s">
        <v>694</v>
      </c>
    </row>
    <row r="225" spans="1:7" x14ac:dyDescent="0.2">
      <c r="A225" t="s">
        <v>545</v>
      </c>
      <c r="B225" t="s">
        <v>634</v>
      </c>
      <c r="C225" t="s">
        <v>40</v>
      </c>
      <c r="D225" t="s">
        <v>16</v>
      </c>
      <c r="E225" t="s">
        <v>31</v>
      </c>
      <c r="G225" t="s">
        <v>695</v>
      </c>
    </row>
    <row r="226" spans="1:7" x14ac:dyDescent="0.2">
      <c r="A226" t="s">
        <v>129</v>
      </c>
      <c r="B226" t="s">
        <v>634</v>
      </c>
      <c r="C226" t="s">
        <v>130</v>
      </c>
      <c r="D226" t="s">
        <v>131</v>
      </c>
      <c r="E226" t="s">
        <v>31</v>
      </c>
      <c r="G226" t="s">
        <v>696</v>
      </c>
    </row>
    <row r="227" spans="1:7" x14ac:dyDescent="0.2">
      <c r="A227" t="s">
        <v>546</v>
      </c>
      <c r="B227" t="s">
        <v>634</v>
      </c>
      <c r="C227" t="s">
        <v>384</v>
      </c>
      <c r="D227" t="s">
        <v>310</v>
      </c>
      <c r="E227" t="s">
        <v>31</v>
      </c>
      <c r="G227" t="s">
        <v>677</v>
      </c>
    </row>
    <row r="228" spans="1:7" x14ac:dyDescent="0.2">
      <c r="A228" t="s">
        <v>547</v>
      </c>
      <c r="B228" t="s">
        <v>634</v>
      </c>
      <c r="C228" t="s">
        <v>384</v>
      </c>
      <c r="D228" t="s">
        <v>310</v>
      </c>
      <c r="E228" t="s">
        <v>31</v>
      </c>
      <c r="G228" t="s">
        <v>677</v>
      </c>
    </row>
    <row r="229" spans="1:7" x14ac:dyDescent="0.2">
      <c r="A229" t="s">
        <v>548</v>
      </c>
      <c r="B229" t="s">
        <v>634</v>
      </c>
      <c r="C229" t="s">
        <v>40</v>
      </c>
      <c r="D229" t="s">
        <v>16</v>
      </c>
      <c r="E229" t="s">
        <v>31</v>
      </c>
      <c r="G229" t="s">
        <v>647</v>
      </c>
    </row>
    <row r="230" spans="1:7" x14ac:dyDescent="0.2">
      <c r="A230" t="s">
        <v>549</v>
      </c>
      <c r="B230" t="s">
        <v>634</v>
      </c>
      <c r="C230" t="s">
        <v>130</v>
      </c>
      <c r="D230" t="s">
        <v>16</v>
      </c>
      <c r="E230" t="s">
        <v>31</v>
      </c>
      <c r="G230" t="s">
        <v>697</v>
      </c>
    </row>
    <row r="231" spans="1:7" x14ac:dyDescent="0.2">
      <c r="A231" t="s">
        <v>134</v>
      </c>
      <c r="B231" t="s">
        <v>637</v>
      </c>
      <c r="C231" t="s">
        <v>15</v>
      </c>
      <c r="D231" t="s">
        <v>135</v>
      </c>
      <c r="E231" t="s">
        <v>31</v>
      </c>
      <c r="G231" t="s">
        <v>698</v>
      </c>
    </row>
    <row r="232" spans="1:7" x14ac:dyDescent="0.2">
      <c r="A232" t="s">
        <v>550</v>
      </c>
      <c r="B232" t="s">
        <v>634</v>
      </c>
      <c r="C232" t="s">
        <v>79</v>
      </c>
      <c r="D232" t="s">
        <v>80</v>
      </c>
      <c r="E232" t="s">
        <v>31</v>
      </c>
      <c r="G232" t="s">
        <v>636</v>
      </c>
    </row>
    <row r="233" spans="1:7" x14ac:dyDescent="0.2">
      <c r="A233" t="s">
        <v>551</v>
      </c>
      <c r="B233" t="s">
        <v>637</v>
      </c>
      <c r="C233" t="s">
        <v>87</v>
      </c>
      <c r="D233" t="s">
        <v>120</v>
      </c>
      <c r="E233" t="s">
        <v>31</v>
      </c>
      <c r="G233" t="s">
        <v>638</v>
      </c>
    </row>
    <row r="234" spans="1:7" x14ac:dyDescent="0.2">
      <c r="A234" t="s">
        <v>552</v>
      </c>
      <c r="B234" t="s">
        <v>637</v>
      </c>
      <c r="C234" t="s">
        <v>87</v>
      </c>
      <c r="D234" t="s">
        <v>107</v>
      </c>
      <c r="E234" t="s">
        <v>31</v>
      </c>
      <c r="G234" t="s">
        <v>643</v>
      </c>
    </row>
    <row r="235" spans="1:7" x14ac:dyDescent="0.2">
      <c r="A235" t="s">
        <v>165</v>
      </c>
      <c r="B235" t="s">
        <v>637</v>
      </c>
      <c r="C235" t="s">
        <v>15</v>
      </c>
      <c r="D235" t="s">
        <v>166</v>
      </c>
      <c r="E235" t="s">
        <v>31</v>
      </c>
      <c r="G235" t="s">
        <v>673</v>
      </c>
    </row>
    <row r="236" spans="1:7" x14ac:dyDescent="0.2">
      <c r="A236" t="s">
        <v>553</v>
      </c>
      <c r="B236" t="s">
        <v>634</v>
      </c>
      <c r="C236" t="s">
        <v>40</v>
      </c>
      <c r="D236" t="s">
        <v>16</v>
      </c>
      <c r="E236" t="s">
        <v>31</v>
      </c>
      <c r="G236" t="s">
        <v>647</v>
      </c>
    </row>
    <row r="237" spans="1:7" x14ac:dyDescent="0.2">
      <c r="A237" t="s">
        <v>161</v>
      </c>
      <c r="B237" t="s">
        <v>637</v>
      </c>
      <c r="C237" t="s">
        <v>87</v>
      </c>
      <c r="D237" t="s">
        <v>96</v>
      </c>
      <c r="E237" t="s">
        <v>31</v>
      </c>
      <c r="G237" t="s">
        <v>642</v>
      </c>
    </row>
    <row r="238" spans="1:7" x14ac:dyDescent="0.2">
      <c r="A238" t="s">
        <v>554</v>
      </c>
      <c r="B238" t="s">
        <v>634</v>
      </c>
      <c r="C238" t="s">
        <v>130</v>
      </c>
      <c r="D238" t="s">
        <v>393</v>
      </c>
      <c r="E238" t="s">
        <v>31</v>
      </c>
      <c r="G238" t="s">
        <v>658</v>
      </c>
    </row>
    <row r="239" spans="1:7" x14ac:dyDescent="0.2">
      <c r="A239" t="s">
        <v>555</v>
      </c>
      <c r="B239" t="s">
        <v>634</v>
      </c>
      <c r="C239" t="s">
        <v>130</v>
      </c>
      <c r="D239" t="s">
        <v>393</v>
      </c>
      <c r="E239" t="s">
        <v>31</v>
      </c>
      <c r="G239" t="s">
        <v>658</v>
      </c>
    </row>
    <row r="240" spans="1:7" x14ac:dyDescent="0.2">
      <c r="A240" t="s">
        <v>556</v>
      </c>
      <c r="B240" t="s">
        <v>634</v>
      </c>
      <c r="C240" t="s">
        <v>130</v>
      </c>
      <c r="D240" t="s">
        <v>393</v>
      </c>
      <c r="E240" t="s">
        <v>31</v>
      </c>
      <c r="G240" t="s">
        <v>658</v>
      </c>
    </row>
    <row r="241" spans="1:7" x14ac:dyDescent="0.2">
      <c r="A241" t="s">
        <v>557</v>
      </c>
      <c r="B241" t="s">
        <v>634</v>
      </c>
      <c r="C241" t="s">
        <v>249</v>
      </c>
      <c r="D241" t="s">
        <v>381</v>
      </c>
      <c r="E241" t="s">
        <v>31</v>
      </c>
      <c r="G241" t="s">
        <v>653</v>
      </c>
    </row>
    <row r="242" spans="1:7" x14ac:dyDescent="0.2">
      <c r="A242" t="s">
        <v>558</v>
      </c>
      <c r="B242" t="s">
        <v>637</v>
      </c>
      <c r="C242" t="s">
        <v>87</v>
      </c>
      <c r="D242" t="s">
        <v>541</v>
      </c>
      <c r="E242" t="s">
        <v>31</v>
      </c>
      <c r="G242" t="s">
        <v>693</v>
      </c>
    </row>
    <row r="243" spans="1:7" x14ac:dyDescent="0.2">
      <c r="A243" t="s">
        <v>181</v>
      </c>
      <c r="B243" t="s">
        <v>634</v>
      </c>
      <c r="C243" t="s">
        <v>87</v>
      </c>
      <c r="D243" t="s">
        <v>182</v>
      </c>
      <c r="E243" t="s">
        <v>31</v>
      </c>
      <c r="G243" t="s">
        <v>657</v>
      </c>
    </row>
    <row r="244" spans="1:7" x14ac:dyDescent="0.2">
      <c r="A244" t="s">
        <v>559</v>
      </c>
      <c r="B244" t="s">
        <v>634</v>
      </c>
      <c r="C244" t="s">
        <v>87</v>
      </c>
      <c r="D244" t="s">
        <v>182</v>
      </c>
      <c r="E244" t="s">
        <v>31</v>
      </c>
      <c r="G244" t="s">
        <v>657</v>
      </c>
    </row>
    <row r="245" spans="1:7" x14ac:dyDescent="0.2">
      <c r="A245" t="s">
        <v>560</v>
      </c>
      <c r="B245" t="s">
        <v>634</v>
      </c>
      <c r="C245" t="s">
        <v>79</v>
      </c>
      <c r="D245" t="s">
        <v>80</v>
      </c>
      <c r="E245" t="s">
        <v>31</v>
      </c>
      <c r="G245" t="s">
        <v>636</v>
      </c>
    </row>
    <row r="246" spans="1:7" x14ac:dyDescent="0.2">
      <c r="A246" t="s">
        <v>561</v>
      </c>
      <c r="B246" t="s">
        <v>634</v>
      </c>
      <c r="C246" t="s">
        <v>87</v>
      </c>
      <c r="D246" t="s">
        <v>154</v>
      </c>
      <c r="E246" t="s">
        <v>31</v>
      </c>
      <c r="G246" t="s">
        <v>640</v>
      </c>
    </row>
    <row r="247" spans="1:7" x14ac:dyDescent="0.2">
      <c r="A247" t="s">
        <v>562</v>
      </c>
      <c r="B247" t="s">
        <v>637</v>
      </c>
      <c r="C247" t="s">
        <v>87</v>
      </c>
      <c r="D247" t="s">
        <v>107</v>
      </c>
      <c r="E247" t="s">
        <v>31</v>
      </c>
      <c r="G247" t="s">
        <v>643</v>
      </c>
    </row>
    <row r="248" spans="1:7" x14ac:dyDescent="0.2">
      <c r="A248" t="s">
        <v>563</v>
      </c>
      <c r="B248" t="s">
        <v>634</v>
      </c>
      <c r="C248" t="s">
        <v>384</v>
      </c>
      <c r="D248" t="s">
        <v>564</v>
      </c>
      <c r="E248" t="s">
        <v>31</v>
      </c>
      <c r="G248" t="s">
        <v>699</v>
      </c>
    </row>
    <row r="249" spans="1:7" x14ac:dyDescent="0.2">
      <c r="A249" t="s">
        <v>565</v>
      </c>
      <c r="B249" t="s">
        <v>634</v>
      </c>
      <c r="C249" t="s">
        <v>130</v>
      </c>
      <c r="D249" t="s">
        <v>356</v>
      </c>
      <c r="E249" t="s">
        <v>31</v>
      </c>
      <c r="G249" t="s">
        <v>635</v>
      </c>
    </row>
    <row r="250" spans="1:7" x14ac:dyDescent="0.2">
      <c r="A250" t="s">
        <v>78</v>
      </c>
      <c r="B250" t="s">
        <v>634</v>
      </c>
      <c r="C250" t="s">
        <v>79</v>
      </c>
      <c r="D250" t="s">
        <v>80</v>
      </c>
      <c r="E250" t="s">
        <v>31</v>
      </c>
      <c r="G250" t="s">
        <v>636</v>
      </c>
    </row>
    <row r="251" spans="1:7" x14ac:dyDescent="0.2">
      <c r="A251" t="s">
        <v>566</v>
      </c>
      <c r="B251" t="s">
        <v>634</v>
      </c>
      <c r="C251" t="s">
        <v>130</v>
      </c>
      <c r="D251" t="s">
        <v>356</v>
      </c>
      <c r="E251" t="s">
        <v>31</v>
      </c>
      <c r="G251" t="s">
        <v>635</v>
      </c>
    </row>
    <row r="252" spans="1:7" x14ac:dyDescent="0.2">
      <c r="A252" t="s">
        <v>567</v>
      </c>
      <c r="B252" t="s">
        <v>637</v>
      </c>
      <c r="C252" t="s">
        <v>384</v>
      </c>
      <c r="D252" t="s">
        <v>388</v>
      </c>
      <c r="E252" t="s">
        <v>31</v>
      </c>
      <c r="G252" t="s">
        <v>656</v>
      </c>
    </row>
    <row r="253" spans="1:7" x14ac:dyDescent="0.2">
      <c r="A253" t="s">
        <v>568</v>
      </c>
      <c r="B253" t="s">
        <v>634</v>
      </c>
      <c r="C253" t="s">
        <v>384</v>
      </c>
      <c r="D253" t="s">
        <v>388</v>
      </c>
      <c r="E253" t="s">
        <v>31</v>
      </c>
      <c r="G253" t="s">
        <v>656</v>
      </c>
    </row>
    <row r="254" spans="1:7" x14ac:dyDescent="0.2">
      <c r="A254" t="s">
        <v>569</v>
      </c>
      <c r="B254" t="s">
        <v>634</v>
      </c>
      <c r="C254" t="s">
        <v>384</v>
      </c>
      <c r="D254" t="s">
        <v>388</v>
      </c>
      <c r="E254" t="s">
        <v>31</v>
      </c>
      <c r="G254" t="s">
        <v>656</v>
      </c>
    </row>
    <row r="255" spans="1:7" x14ac:dyDescent="0.2">
      <c r="A255" t="s">
        <v>570</v>
      </c>
      <c r="B255" t="s">
        <v>634</v>
      </c>
      <c r="C255" t="s">
        <v>87</v>
      </c>
      <c r="D255" t="s">
        <v>310</v>
      </c>
      <c r="E255" t="s">
        <v>31</v>
      </c>
      <c r="G255" t="s">
        <v>700</v>
      </c>
    </row>
    <row r="256" spans="1:7" x14ac:dyDescent="0.2">
      <c r="A256" t="s">
        <v>312</v>
      </c>
      <c r="B256" t="s">
        <v>637</v>
      </c>
      <c r="C256" t="s">
        <v>249</v>
      </c>
      <c r="D256" t="s">
        <v>16</v>
      </c>
      <c r="E256" t="s">
        <v>31</v>
      </c>
      <c r="G256" t="s">
        <v>701</v>
      </c>
    </row>
    <row r="257" spans="1:7" x14ac:dyDescent="0.2">
      <c r="A257" t="s">
        <v>571</v>
      </c>
      <c r="B257" t="s">
        <v>634</v>
      </c>
      <c r="C257" t="s">
        <v>40</v>
      </c>
      <c r="D257" t="s">
        <v>16</v>
      </c>
      <c r="E257" t="s">
        <v>31</v>
      </c>
      <c r="G257" t="s">
        <v>647</v>
      </c>
    </row>
    <row r="258" spans="1:7" x14ac:dyDescent="0.2">
      <c r="A258" t="s">
        <v>103</v>
      </c>
      <c r="B258" t="s">
        <v>641</v>
      </c>
      <c r="C258" t="s">
        <v>87</v>
      </c>
      <c r="D258" t="s">
        <v>80</v>
      </c>
      <c r="E258" t="s">
        <v>31</v>
      </c>
      <c r="G258" t="s">
        <v>659</v>
      </c>
    </row>
    <row r="259" spans="1:7" x14ac:dyDescent="0.2">
      <c r="A259" t="s">
        <v>572</v>
      </c>
      <c r="B259" t="s">
        <v>641</v>
      </c>
      <c r="C259" t="s">
        <v>87</v>
      </c>
      <c r="D259" t="s">
        <v>96</v>
      </c>
      <c r="E259" t="s">
        <v>31</v>
      </c>
      <c r="G259" t="s">
        <v>642</v>
      </c>
    </row>
    <row r="260" spans="1:7" x14ac:dyDescent="0.2">
      <c r="A260" t="s">
        <v>573</v>
      </c>
      <c r="B260" t="s">
        <v>641</v>
      </c>
      <c r="C260" t="s">
        <v>87</v>
      </c>
      <c r="D260" t="s">
        <v>96</v>
      </c>
      <c r="E260" t="s">
        <v>31</v>
      </c>
      <c r="G260" t="s">
        <v>642</v>
      </c>
    </row>
    <row r="261" spans="1:7" x14ac:dyDescent="0.2">
      <c r="A261" t="s">
        <v>574</v>
      </c>
      <c r="B261" t="s">
        <v>634</v>
      </c>
      <c r="C261" t="s">
        <v>130</v>
      </c>
      <c r="D261" t="s">
        <v>443</v>
      </c>
      <c r="E261" t="s">
        <v>31</v>
      </c>
      <c r="G261" t="s">
        <v>667</v>
      </c>
    </row>
    <row r="262" spans="1:7" x14ac:dyDescent="0.2">
      <c r="A262" t="s">
        <v>95</v>
      </c>
      <c r="B262" t="s">
        <v>637</v>
      </c>
      <c r="C262" t="s">
        <v>87</v>
      </c>
      <c r="D262" t="s">
        <v>96</v>
      </c>
      <c r="E262" t="s">
        <v>31</v>
      </c>
      <c r="G262" t="s">
        <v>642</v>
      </c>
    </row>
    <row r="263" spans="1:7" x14ac:dyDescent="0.2">
      <c r="A263" t="s">
        <v>575</v>
      </c>
      <c r="B263" t="s">
        <v>634</v>
      </c>
      <c r="C263" t="s">
        <v>130</v>
      </c>
      <c r="D263" t="s">
        <v>262</v>
      </c>
      <c r="E263" t="s">
        <v>31</v>
      </c>
      <c r="G263" t="s">
        <v>702</v>
      </c>
    </row>
    <row r="264" spans="1:7" x14ac:dyDescent="0.2">
      <c r="A264" t="s">
        <v>576</v>
      </c>
      <c r="B264" t="s">
        <v>634</v>
      </c>
      <c r="C264" t="s">
        <v>130</v>
      </c>
      <c r="D264" t="s">
        <v>16</v>
      </c>
      <c r="E264" t="s">
        <v>31</v>
      </c>
      <c r="G264" t="s">
        <v>703</v>
      </c>
    </row>
    <row r="265" spans="1:7" x14ac:dyDescent="0.2">
      <c r="A265" t="s">
        <v>265</v>
      </c>
      <c r="B265" t="s">
        <v>634</v>
      </c>
      <c r="C265" t="s">
        <v>130</v>
      </c>
      <c r="D265" t="s">
        <v>266</v>
      </c>
      <c r="E265" t="s">
        <v>31</v>
      </c>
      <c r="G265" t="s">
        <v>704</v>
      </c>
    </row>
    <row r="266" spans="1:7" x14ac:dyDescent="0.2">
      <c r="A266" t="s">
        <v>577</v>
      </c>
      <c r="B266" t="s">
        <v>634</v>
      </c>
      <c r="C266" t="s">
        <v>130</v>
      </c>
      <c r="D266" t="s">
        <v>266</v>
      </c>
      <c r="E266" t="s">
        <v>31</v>
      </c>
      <c r="G266" t="s">
        <v>704</v>
      </c>
    </row>
    <row r="267" spans="1:7" x14ac:dyDescent="0.2">
      <c r="A267" t="s">
        <v>268</v>
      </c>
      <c r="B267" t="s">
        <v>634</v>
      </c>
      <c r="C267" t="s">
        <v>130</v>
      </c>
      <c r="D267" t="s">
        <v>266</v>
      </c>
      <c r="E267" t="s">
        <v>31</v>
      </c>
      <c r="G267" t="s">
        <v>704</v>
      </c>
    </row>
    <row r="268" spans="1:7" x14ac:dyDescent="0.2">
      <c r="A268" t="s">
        <v>578</v>
      </c>
      <c r="B268" t="s">
        <v>634</v>
      </c>
      <c r="C268" t="s">
        <v>130</v>
      </c>
      <c r="D268" t="s">
        <v>266</v>
      </c>
      <c r="E268" t="s">
        <v>31</v>
      </c>
      <c r="G268" t="s">
        <v>704</v>
      </c>
    </row>
    <row r="269" spans="1:7" x14ac:dyDescent="0.2">
      <c r="A269" t="s">
        <v>579</v>
      </c>
      <c r="B269" t="s">
        <v>634</v>
      </c>
      <c r="C269" t="s">
        <v>130</v>
      </c>
      <c r="D269" t="s">
        <v>262</v>
      </c>
      <c r="E269" t="s">
        <v>31</v>
      </c>
      <c r="G269" t="s">
        <v>702</v>
      </c>
    </row>
    <row r="270" spans="1:7" x14ac:dyDescent="0.2">
      <c r="A270" t="s">
        <v>580</v>
      </c>
      <c r="B270" t="s">
        <v>634</v>
      </c>
      <c r="C270" t="s">
        <v>130</v>
      </c>
      <c r="D270" t="s">
        <v>16</v>
      </c>
      <c r="E270" t="s">
        <v>31</v>
      </c>
      <c r="G270" t="s">
        <v>705</v>
      </c>
    </row>
    <row r="271" spans="1:7" x14ac:dyDescent="0.2">
      <c r="A271" t="s">
        <v>256</v>
      </c>
      <c r="B271" t="s">
        <v>637</v>
      </c>
      <c r="C271" t="s">
        <v>130</v>
      </c>
      <c r="D271" t="s">
        <v>16</v>
      </c>
      <c r="E271" t="s">
        <v>31</v>
      </c>
      <c r="G271" t="s">
        <v>706</v>
      </c>
    </row>
    <row r="272" spans="1:7" x14ac:dyDescent="0.2">
      <c r="A272" t="s">
        <v>261</v>
      </c>
      <c r="B272" t="s">
        <v>637</v>
      </c>
      <c r="C272" t="s">
        <v>130</v>
      </c>
      <c r="D272" t="s">
        <v>262</v>
      </c>
      <c r="E272" t="s">
        <v>31</v>
      </c>
      <c r="G272" t="s">
        <v>702</v>
      </c>
    </row>
    <row r="273" spans="1:7" x14ac:dyDescent="0.2">
      <c r="A273" t="s">
        <v>581</v>
      </c>
      <c r="B273" t="s">
        <v>637</v>
      </c>
      <c r="C273" t="s">
        <v>130</v>
      </c>
      <c r="D273" t="s">
        <v>262</v>
      </c>
      <c r="E273" t="s">
        <v>31</v>
      </c>
      <c r="G273" t="s">
        <v>702</v>
      </c>
    </row>
    <row r="274" spans="1:7" x14ac:dyDescent="0.2">
      <c r="A274" t="s">
        <v>254</v>
      </c>
      <c r="B274" t="s">
        <v>637</v>
      </c>
      <c r="C274" t="s">
        <v>130</v>
      </c>
      <c r="D274" t="s">
        <v>16</v>
      </c>
      <c r="E274" t="s">
        <v>31</v>
      </c>
      <c r="G274" t="s">
        <v>707</v>
      </c>
    </row>
    <row r="275" spans="1:7" x14ac:dyDescent="0.2">
      <c r="A275" t="s">
        <v>582</v>
      </c>
      <c r="B275" t="s">
        <v>634</v>
      </c>
      <c r="C275" t="s">
        <v>130</v>
      </c>
      <c r="D275" t="s">
        <v>16</v>
      </c>
      <c r="E275" t="s">
        <v>31</v>
      </c>
      <c r="G275" t="s">
        <v>708</v>
      </c>
    </row>
    <row r="276" spans="1:7" x14ac:dyDescent="0.2">
      <c r="A276" t="s">
        <v>583</v>
      </c>
      <c r="B276" t="s">
        <v>634</v>
      </c>
      <c r="C276" t="s">
        <v>130</v>
      </c>
      <c r="D276" t="s">
        <v>16</v>
      </c>
      <c r="E276" t="s">
        <v>31</v>
      </c>
      <c r="G276" t="s">
        <v>709</v>
      </c>
    </row>
    <row r="277" spans="1:7" x14ac:dyDescent="0.2">
      <c r="A277" t="s">
        <v>584</v>
      </c>
      <c r="B277" t="s">
        <v>634</v>
      </c>
      <c r="C277" t="s">
        <v>40</v>
      </c>
      <c r="D277" t="s">
        <v>228</v>
      </c>
      <c r="E277" t="s">
        <v>31</v>
      </c>
      <c r="G277" t="s">
        <v>680</v>
      </c>
    </row>
    <row r="278" spans="1:7" x14ac:dyDescent="0.2">
      <c r="A278" t="s">
        <v>585</v>
      </c>
      <c r="B278" t="s">
        <v>637</v>
      </c>
      <c r="C278" t="s">
        <v>130</v>
      </c>
      <c r="D278" t="s">
        <v>16</v>
      </c>
      <c r="E278" t="s">
        <v>31</v>
      </c>
      <c r="G278" t="s">
        <v>703</v>
      </c>
    </row>
    <row r="279" spans="1:7" x14ac:dyDescent="0.2">
      <c r="A279" t="s">
        <v>586</v>
      </c>
      <c r="B279" t="s">
        <v>634</v>
      </c>
      <c r="C279" t="s">
        <v>130</v>
      </c>
      <c r="D279" t="s">
        <v>120</v>
      </c>
      <c r="E279" t="s">
        <v>31</v>
      </c>
      <c r="G279" t="s">
        <v>710</v>
      </c>
    </row>
    <row r="280" spans="1:7" x14ac:dyDescent="0.2">
      <c r="A280" t="s">
        <v>587</v>
      </c>
      <c r="B280" t="s">
        <v>637</v>
      </c>
      <c r="C280" t="s">
        <v>130</v>
      </c>
      <c r="D280" t="s">
        <v>16</v>
      </c>
      <c r="E280" t="s">
        <v>31</v>
      </c>
      <c r="G280" t="s">
        <v>711</v>
      </c>
    </row>
    <row r="281" spans="1:7" x14ac:dyDescent="0.2">
      <c r="A281" t="s">
        <v>588</v>
      </c>
      <c r="B281" t="s">
        <v>637</v>
      </c>
      <c r="C281" t="s">
        <v>130</v>
      </c>
      <c r="D281" t="s">
        <v>266</v>
      </c>
      <c r="E281" t="s">
        <v>31</v>
      </c>
      <c r="G281" t="s">
        <v>712</v>
      </c>
    </row>
    <row r="282" spans="1:7" x14ac:dyDescent="0.2">
      <c r="A282" t="s">
        <v>589</v>
      </c>
      <c r="B282" t="s">
        <v>637</v>
      </c>
      <c r="C282" t="s">
        <v>130</v>
      </c>
      <c r="D282" t="s">
        <v>262</v>
      </c>
      <c r="E282" t="s">
        <v>31</v>
      </c>
      <c r="G282" t="s">
        <v>702</v>
      </c>
    </row>
    <row r="283" spans="1:7" x14ac:dyDescent="0.2">
      <c r="A283" t="s">
        <v>590</v>
      </c>
      <c r="B283" t="s">
        <v>634</v>
      </c>
      <c r="C283" t="s">
        <v>130</v>
      </c>
      <c r="D283" t="s">
        <v>443</v>
      </c>
      <c r="E283" t="s">
        <v>31</v>
      </c>
      <c r="G283" t="s">
        <v>667</v>
      </c>
    </row>
    <row r="284" spans="1:7" x14ac:dyDescent="0.2">
      <c r="A284" t="s">
        <v>591</v>
      </c>
      <c r="B284" t="s">
        <v>637</v>
      </c>
      <c r="C284" t="s">
        <v>130</v>
      </c>
      <c r="D284" t="s">
        <v>16</v>
      </c>
      <c r="E284" t="s">
        <v>31</v>
      </c>
      <c r="G284" t="s">
        <v>708</v>
      </c>
    </row>
    <row r="285" spans="1:7" x14ac:dyDescent="0.2">
      <c r="A285" t="s">
        <v>592</v>
      </c>
      <c r="B285" t="s">
        <v>634</v>
      </c>
      <c r="C285" t="s">
        <v>40</v>
      </c>
      <c r="D285" t="s">
        <v>16</v>
      </c>
      <c r="E285" t="s">
        <v>31</v>
      </c>
      <c r="G285" t="s">
        <v>647</v>
      </c>
    </row>
    <row r="286" spans="1:7" x14ac:dyDescent="0.2">
      <c r="A286" t="s">
        <v>309</v>
      </c>
      <c r="B286" t="s">
        <v>634</v>
      </c>
      <c r="C286" t="s">
        <v>87</v>
      </c>
      <c r="D286" t="s">
        <v>310</v>
      </c>
      <c r="E286" t="s">
        <v>31</v>
      </c>
      <c r="G286" t="s">
        <v>700</v>
      </c>
    </row>
    <row r="287" spans="1:7" x14ac:dyDescent="0.2">
      <c r="A287" t="s">
        <v>58</v>
      </c>
      <c r="B287" t="s">
        <v>634</v>
      </c>
      <c r="C287" t="s">
        <v>15</v>
      </c>
      <c r="D287" t="s">
        <v>49</v>
      </c>
      <c r="E287" t="s">
        <v>31</v>
      </c>
      <c r="G287" t="s">
        <v>666</v>
      </c>
    </row>
    <row r="288" spans="1:7" x14ac:dyDescent="0.2">
      <c r="A288" t="s">
        <v>593</v>
      </c>
      <c r="B288" t="s">
        <v>634</v>
      </c>
      <c r="C288" t="s">
        <v>87</v>
      </c>
      <c r="D288" t="s">
        <v>182</v>
      </c>
      <c r="E288" t="s">
        <v>31</v>
      </c>
      <c r="G288" t="s">
        <v>657</v>
      </c>
    </row>
    <row r="289" spans="1:7" x14ac:dyDescent="0.2">
      <c r="A289" t="s">
        <v>127</v>
      </c>
      <c r="B289" t="s">
        <v>634</v>
      </c>
      <c r="C289" t="s">
        <v>87</v>
      </c>
      <c r="D289" t="s">
        <v>107</v>
      </c>
      <c r="E289" t="s">
        <v>31</v>
      </c>
      <c r="G289" t="s">
        <v>643</v>
      </c>
    </row>
    <row r="290" spans="1:7" x14ac:dyDescent="0.2">
      <c r="A290" t="s">
        <v>297</v>
      </c>
      <c r="B290" t="s">
        <v>634</v>
      </c>
      <c r="C290" t="s">
        <v>278</v>
      </c>
      <c r="D290" t="s">
        <v>80</v>
      </c>
      <c r="E290" t="s">
        <v>31</v>
      </c>
      <c r="G290" t="s">
        <v>690</v>
      </c>
    </row>
    <row r="291" spans="1:7" x14ac:dyDescent="0.2">
      <c r="A291" t="s">
        <v>299</v>
      </c>
      <c r="B291" t="s">
        <v>634</v>
      </c>
      <c r="C291" t="s">
        <v>278</v>
      </c>
      <c r="D291" t="s">
        <v>80</v>
      </c>
      <c r="E291" t="s">
        <v>31</v>
      </c>
      <c r="G291" t="s">
        <v>690</v>
      </c>
    </row>
    <row r="292" spans="1:7" x14ac:dyDescent="0.2">
      <c r="A292" t="s">
        <v>594</v>
      </c>
      <c r="B292" t="s">
        <v>634</v>
      </c>
      <c r="C292" t="s">
        <v>40</v>
      </c>
      <c r="D292" t="s">
        <v>228</v>
      </c>
      <c r="E292" t="s">
        <v>31</v>
      </c>
      <c r="G292" t="s">
        <v>680</v>
      </c>
    </row>
    <row r="293" spans="1:7" x14ac:dyDescent="0.2">
      <c r="A293" t="s">
        <v>303</v>
      </c>
      <c r="B293" t="s">
        <v>634</v>
      </c>
      <c r="C293" t="s">
        <v>278</v>
      </c>
      <c r="D293" t="s">
        <v>279</v>
      </c>
      <c r="E293" t="s">
        <v>31</v>
      </c>
      <c r="G293" t="s">
        <v>671</v>
      </c>
    </row>
    <row r="294" spans="1:7" x14ac:dyDescent="0.2">
      <c r="A294" t="s">
        <v>307</v>
      </c>
      <c r="B294" t="s">
        <v>634</v>
      </c>
      <c r="C294" t="s">
        <v>278</v>
      </c>
      <c r="D294" t="s">
        <v>80</v>
      </c>
      <c r="E294" t="s">
        <v>31</v>
      </c>
      <c r="G294" t="s">
        <v>690</v>
      </c>
    </row>
    <row r="295" spans="1:7" x14ac:dyDescent="0.2">
      <c r="A295" t="s">
        <v>305</v>
      </c>
      <c r="B295" t="s">
        <v>634</v>
      </c>
      <c r="C295" t="s">
        <v>278</v>
      </c>
      <c r="D295" t="s">
        <v>279</v>
      </c>
      <c r="E295" t="s">
        <v>31</v>
      </c>
      <c r="G295" t="s">
        <v>671</v>
      </c>
    </row>
    <row r="296" spans="1:7" x14ac:dyDescent="0.2">
      <c r="A296" t="s">
        <v>301</v>
      </c>
      <c r="B296" t="s">
        <v>634</v>
      </c>
      <c r="C296" t="s">
        <v>278</v>
      </c>
      <c r="D296" t="s">
        <v>279</v>
      </c>
      <c r="E296" t="s">
        <v>31</v>
      </c>
      <c r="G296" t="s">
        <v>671</v>
      </c>
    </row>
    <row r="297" spans="1:7" x14ac:dyDescent="0.2">
      <c r="A297" t="s">
        <v>294</v>
      </c>
      <c r="B297" t="s">
        <v>634</v>
      </c>
      <c r="C297" t="s">
        <v>278</v>
      </c>
      <c r="D297" t="s">
        <v>80</v>
      </c>
      <c r="E297" t="s">
        <v>31</v>
      </c>
      <c r="G297" t="s">
        <v>690</v>
      </c>
    </row>
    <row r="298" spans="1:7" x14ac:dyDescent="0.2">
      <c r="A298" t="s">
        <v>595</v>
      </c>
      <c r="B298" t="s">
        <v>634</v>
      </c>
      <c r="C298" t="s">
        <v>384</v>
      </c>
      <c r="D298" t="s">
        <v>388</v>
      </c>
      <c r="E298" t="s">
        <v>31</v>
      </c>
      <c r="G298" t="s">
        <v>656</v>
      </c>
    </row>
    <row r="299" spans="1:7" x14ac:dyDescent="0.2">
      <c r="A299" t="s">
        <v>233</v>
      </c>
      <c r="B299" t="s">
        <v>634</v>
      </c>
      <c r="C299" t="s">
        <v>87</v>
      </c>
      <c r="D299" t="s">
        <v>221</v>
      </c>
      <c r="E299" t="s">
        <v>31</v>
      </c>
      <c r="G299" t="s">
        <v>679</v>
      </c>
    </row>
    <row r="300" spans="1:7" x14ac:dyDescent="0.2">
      <c r="A300" t="s">
        <v>238</v>
      </c>
      <c r="B300" t="s">
        <v>634</v>
      </c>
      <c r="C300" t="s">
        <v>87</v>
      </c>
      <c r="D300" t="s">
        <v>221</v>
      </c>
      <c r="E300" t="s">
        <v>31</v>
      </c>
      <c r="G300" t="s">
        <v>679</v>
      </c>
    </row>
    <row r="301" spans="1:7" x14ac:dyDescent="0.2">
      <c r="A301" t="s">
        <v>211</v>
      </c>
      <c r="B301" t="s">
        <v>634</v>
      </c>
      <c r="C301" t="s">
        <v>15</v>
      </c>
      <c r="D301" t="s">
        <v>54</v>
      </c>
      <c r="E301" t="s">
        <v>31</v>
      </c>
      <c r="G301" t="s">
        <v>713</v>
      </c>
    </row>
    <row r="302" spans="1:7" x14ac:dyDescent="0.2">
      <c r="A302" t="s">
        <v>596</v>
      </c>
      <c r="B302" t="s">
        <v>634</v>
      </c>
      <c r="C302" t="s">
        <v>87</v>
      </c>
      <c r="D302" t="s">
        <v>221</v>
      </c>
      <c r="E302" t="s">
        <v>31</v>
      </c>
      <c r="G302" t="s">
        <v>679</v>
      </c>
    </row>
    <row r="303" spans="1:7" x14ac:dyDescent="0.2">
      <c r="A303" t="s">
        <v>597</v>
      </c>
      <c r="B303" t="s">
        <v>634</v>
      </c>
      <c r="C303" t="s">
        <v>87</v>
      </c>
      <c r="D303" t="s">
        <v>221</v>
      </c>
      <c r="E303" t="s">
        <v>31</v>
      </c>
      <c r="G303" t="s">
        <v>679</v>
      </c>
    </row>
    <row r="304" spans="1:7" x14ac:dyDescent="0.2">
      <c r="A304" t="s">
        <v>110</v>
      </c>
      <c r="B304" t="s">
        <v>634</v>
      </c>
      <c r="C304" t="s">
        <v>87</v>
      </c>
      <c r="D304" t="s">
        <v>107</v>
      </c>
      <c r="E304" t="s">
        <v>31</v>
      </c>
      <c r="G304" t="s">
        <v>643</v>
      </c>
    </row>
    <row r="305" spans="1:7" x14ac:dyDescent="0.2">
      <c r="A305" t="s">
        <v>598</v>
      </c>
      <c r="B305" t="s">
        <v>634</v>
      </c>
      <c r="C305" t="s">
        <v>87</v>
      </c>
      <c r="D305" t="s">
        <v>599</v>
      </c>
      <c r="E305" t="s">
        <v>31</v>
      </c>
      <c r="G305" t="s">
        <v>714</v>
      </c>
    </row>
    <row r="306" spans="1:7" x14ac:dyDescent="0.2">
      <c r="A306" t="s">
        <v>106</v>
      </c>
      <c r="B306" t="s">
        <v>634</v>
      </c>
      <c r="C306" t="s">
        <v>87</v>
      </c>
      <c r="D306" t="s">
        <v>107</v>
      </c>
      <c r="E306" t="s">
        <v>31</v>
      </c>
      <c r="G306" t="s">
        <v>643</v>
      </c>
    </row>
    <row r="307" spans="1:7" x14ac:dyDescent="0.2">
      <c r="A307" t="s">
        <v>600</v>
      </c>
      <c r="B307" t="s">
        <v>634</v>
      </c>
      <c r="C307" t="s">
        <v>87</v>
      </c>
      <c r="D307" t="s">
        <v>120</v>
      </c>
      <c r="E307" t="s">
        <v>31</v>
      </c>
      <c r="G307" t="s">
        <v>638</v>
      </c>
    </row>
    <row r="308" spans="1:7" x14ac:dyDescent="0.2">
      <c r="A308" t="s">
        <v>601</v>
      </c>
      <c r="B308" t="s">
        <v>634</v>
      </c>
      <c r="C308" t="s">
        <v>87</v>
      </c>
      <c r="D308" t="s">
        <v>599</v>
      </c>
      <c r="E308" t="s">
        <v>31</v>
      </c>
      <c r="G308" t="s">
        <v>714</v>
      </c>
    </row>
    <row r="309" spans="1:7" x14ac:dyDescent="0.2">
      <c r="A309" t="s">
        <v>602</v>
      </c>
      <c r="B309" t="s">
        <v>634</v>
      </c>
      <c r="C309" t="s">
        <v>40</v>
      </c>
      <c r="D309" t="s">
        <v>465</v>
      </c>
      <c r="E309" t="s">
        <v>31</v>
      </c>
      <c r="G309" t="s">
        <v>675</v>
      </c>
    </row>
    <row r="310" spans="1:7" x14ac:dyDescent="0.2">
      <c r="A310" t="s">
        <v>86</v>
      </c>
      <c r="B310" t="s">
        <v>637</v>
      </c>
      <c r="C310" t="s">
        <v>87</v>
      </c>
      <c r="D310" t="s">
        <v>80</v>
      </c>
      <c r="E310" t="s">
        <v>31</v>
      </c>
      <c r="G310" t="s">
        <v>659</v>
      </c>
    </row>
    <row r="311" spans="1:7" x14ac:dyDescent="0.2">
      <c r="A311" t="s">
        <v>603</v>
      </c>
      <c r="B311" t="s">
        <v>637</v>
      </c>
      <c r="C311" t="s">
        <v>87</v>
      </c>
      <c r="D311" t="s">
        <v>448</v>
      </c>
      <c r="E311" t="s">
        <v>31</v>
      </c>
      <c r="G311" t="s">
        <v>669</v>
      </c>
    </row>
    <row r="312" spans="1:7" x14ac:dyDescent="0.2">
      <c r="A312" t="s">
        <v>604</v>
      </c>
      <c r="B312" t="s">
        <v>641</v>
      </c>
      <c r="C312" t="s">
        <v>87</v>
      </c>
      <c r="D312" t="s">
        <v>96</v>
      </c>
      <c r="E312" t="s">
        <v>31</v>
      </c>
      <c r="G312" t="s">
        <v>642</v>
      </c>
    </row>
    <row r="313" spans="1:7" x14ac:dyDescent="0.2">
      <c r="A313" t="s">
        <v>163</v>
      </c>
      <c r="B313" t="s">
        <v>637</v>
      </c>
      <c r="C313" t="s">
        <v>87</v>
      </c>
      <c r="D313" t="s">
        <v>96</v>
      </c>
      <c r="E313" t="s">
        <v>31</v>
      </c>
      <c r="G313" t="s">
        <v>642</v>
      </c>
    </row>
    <row r="314" spans="1:7" x14ac:dyDescent="0.2">
      <c r="A314" t="s">
        <v>605</v>
      </c>
      <c r="B314" t="s">
        <v>634</v>
      </c>
      <c r="C314" t="s">
        <v>87</v>
      </c>
      <c r="D314" t="s">
        <v>599</v>
      </c>
      <c r="E314" t="s">
        <v>31</v>
      </c>
      <c r="G314" t="s">
        <v>715</v>
      </c>
    </row>
    <row r="315" spans="1:7" x14ac:dyDescent="0.2">
      <c r="A315" t="s">
        <v>606</v>
      </c>
      <c r="B315" t="s">
        <v>634</v>
      </c>
      <c r="C315" t="s">
        <v>87</v>
      </c>
      <c r="D315" t="s">
        <v>599</v>
      </c>
      <c r="E315" t="s">
        <v>31</v>
      </c>
      <c r="G315" t="s">
        <v>715</v>
      </c>
    </row>
    <row r="316" spans="1:7" x14ac:dyDescent="0.2">
      <c r="A316" t="s">
        <v>607</v>
      </c>
      <c r="B316" t="s">
        <v>634</v>
      </c>
      <c r="C316" t="s">
        <v>87</v>
      </c>
      <c r="D316" t="s">
        <v>599</v>
      </c>
      <c r="E316" t="s">
        <v>31</v>
      </c>
      <c r="G316" t="s">
        <v>715</v>
      </c>
    </row>
    <row r="317" spans="1:7" x14ac:dyDescent="0.2">
      <c r="A317" t="s">
        <v>608</v>
      </c>
      <c r="B317" t="s">
        <v>634</v>
      </c>
      <c r="C317" t="s">
        <v>87</v>
      </c>
      <c r="D317" t="s">
        <v>599</v>
      </c>
      <c r="E317" t="s">
        <v>31</v>
      </c>
      <c r="G317" t="s">
        <v>715</v>
      </c>
    </row>
    <row r="318" spans="1:7" x14ac:dyDescent="0.2">
      <c r="A318" t="s">
        <v>350</v>
      </c>
      <c r="B318" t="s">
        <v>634</v>
      </c>
      <c r="C318" t="s">
        <v>130</v>
      </c>
      <c r="D318" t="s">
        <v>346</v>
      </c>
      <c r="E318" t="s">
        <v>31</v>
      </c>
      <c r="G318" t="s">
        <v>681</v>
      </c>
    </row>
    <row r="319" spans="1:7" x14ac:dyDescent="0.2">
      <c r="A319" t="s">
        <v>609</v>
      </c>
      <c r="B319" t="s">
        <v>634</v>
      </c>
      <c r="C319" t="s">
        <v>130</v>
      </c>
      <c r="D319" t="s">
        <v>346</v>
      </c>
      <c r="E319" t="s">
        <v>31</v>
      </c>
      <c r="G319" t="s">
        <v>681</v>
      </c>
    </row>
    <row r="320" spans="1:7" x14ac:dyDescent="0.2">
      <c r="A320" t="s">
        <v>352</v>
      </c>
      <c r="B320" t="s">
        <v>634</v>
      </c>
      <c r="C320" t="s">
        <v>130</v>
      </c>
      <c r="D320" t="s">
        <v>346</v>
      </c>
      <c r="E320" t="s">
        <v>31</v>
      </c>
      <c r="G320" t="s">
        <v>681</v>
      </c>
    </row>
    <row r="321" spans="1:7" x14ac:dyDescent="0.2">
      <c r="A321" t="s">
        <v>343</v>
      </c>
      <c r="B321" t="s">
        <v>634</v>
      </c>
      <c r="C321" t="s">
        <v>87</v>
      </c>
      <c r="D321" t="s">
        <v>190</v>
      </c>
      <c r="E321" t="s">
        <v>31</v>
      </c>
      <c r="G321" t="s">
        <v>716</v>
      </c>
    </row>
    <row r="322" spans="1:7" x14ac:dyDescent="0.2">
      <c r="A322" t="s">
        <v>337</v>
      </c>
      <c r="B322" t="s">
        <v>634</v>
      </c>
      <c r="C322" t="s">
        <v>87</v>
      </c>
      <c r="D322" t="s">
        <v>190</v>
      </c>
      <c r="E322" t="s">
        <v>31</v>
      </c>
      <c r="G322" t="s">
        <v>716</v>
      </c>
    </row>
    <row r="323" spans="1:7" x14ac:dyDescent="0.2">
      <c r="A323" t="s">
        <v>339</v>
      </c>
      <c r="B323" t="s">
        <v>634</v>
      </c>
      <c r="C323" t="s">
        <v>87</v>
      </c>
      <c r="D323" t="s">
        <v>190</v>
      </c>
      <c r="E323" t="s">
        <v>31</v>
      </c>
      <c r="G323" t="s">
        <v>716</v>
      </c>
    </row>
    <row r="324" spans="1:7" x14ac:dyDescent="0.2">
      <c r="A324" t="s">
        <v>335</v>
      </c>
      <c r="B324" t="s">
        <v>634</v>
      </c>
      <c r="C324" t="s">
        <v>87</v>
      </c>
      <c r="D324" t="s">
        <v>190</v>
      </c>
      <c r="E324" t="s">
        <v>31</v>
      </c>
      <c r="G324" t="s">
        <v>716</v>
      </c>
    </row>
    <row r="325" spans="1:7" x14ac:dyDescent="0.2">
      <c r="A325" t="s">
        <v>341</v>
      </c>
      <c r="B325" t="s">
        <v>634</v>
      </c>
      <c r="C325" t="s">
        <v>87</v>
      </c>
      <c r="D325" t="s">
        <v>342</v>
      </c>
      <c r="E325" t="s">
        <v>31</v>
      </c>
      <c r="G325" t="s">
        <v>717</v>
      </c>
    </row>
    <row r="326" spans="1:7" x14ac:dyDescent="0.2">
      <c r="A326" t="s">
        <v>340</v>
      </c>
      <c r="B326" t="s">
        <v>634</v>
      </c>
      <c r="C326" t="s">
        <v>87</v>
      </c>
      <c r="D326" t="s">
        <v>190</v>
      </c>
      <c r="E326" t="s">
        <v>31</v>
      </c>
      <c r="G326" t="s">
        <v>716</v>
      </c>
    </row>
    <row r="327" spans="1:7" x14ac:dyDescent="0.2">
      <c r="A327" t="s">
        <v>610</v>
      </c>
      <c r="B327" t="s">
        <v>634</v>
      </c>
      <c r="C327" t="s">
        <v>87</v>
      </c>
      <c r="D327" t="s">
        <v>190</v>
      </c>
      <c r="E327" t="s">
        <v>31</v>
      </c>
      <c r="G327" t="s">
        <v>716</v>
      </c>
    </row>
    <row r="328" spans="1:7" x14ac:dyDescent="0.2">
      <c r="A328" t="s">
        <v>611</v>
      </c>
      <c r="B328" t="s">
        <v>634</v>
      </c>
      <c r="C328" t="s">
        <v>87</v>
      </c>
      <c r="D328" t="s">
        <v>190</v>
      </c>
      <c r="E328" t="s">
        <v>31</v>
      </c>
      <c r="G328" t="s">
        <v>716</v>
      </c>
    </row>
    <row r="329" spans="1:7" x14ac:dyDescent="0.2">
      <c r="A329" t="s">
        <v>612</v>
      </c>
      <c r="B329" t="s">
        <v>634</v>
      </c>
      <c r="C329" t="s">
        <v>87</v>
      </c>
      <c r="D329" t="s">
        <v>190</v>
      </c>
      <c r="E329" t="s">
        <v>31</v>
      </c>
      <c r="G329" t="s">
        <v>716</v>
      </c>
    </row>
    <row r="330" spans="1:7" x14ac:dyDescent="0.2">
      <c r="A330" t="s">
        <v>338</v>
      </c>
      <c r="B330" t="s">
        <v>634</v>
      </c>
      <c r="C330" t="s">
        <v>87</v>
      </c>
      <c r="D330" t="s">
        <v>190</v>
      </c>
      <c r="E330" t="s">
        <v>31</v>
      </c>
      <c r="G330" t="s">
        <v>716</v>
      </c>
    </row>
    <row r="331" spans="1:7" x14ac:dyDescent="0.2">
      <c r="A331" t="s">
        <v>336</v>
      </c>
      <c r="B331" t="s">
        <v>634</v>
      </c>
      <c r="C331" t="s">
        <v>87</v>
      </c>
      <c r="D331" t="s">
        <v>190</v>
      </c>
      <c r="E331" t="s">
        <v>31</v>
      </c>
      <c r="G331" t="s">
        <v>716</v>
      </c>
    </row>
    <row r="332" spans="1:7" x14ac:dyDescent="0.2">
      <c r="A332" t="s">
        <v>613</v>
      </c>
      <c r="B332" t="s">
        <v>641</v>
      </c>
      <c r="C332" t="s">
        <v>87</v>
      </c>
      <c r="D332" t="s">
        <v>342</v>
      </c>
      <c r="E332" t="s">
        <v>31</v>
      </c>
      <c r="G332" t="s">
        <v>717</v>
      </c>
    </row>
    <row r="333" spans="1:7" x14ac:dyDescent="0.2">
      <c r="A333" t="s">
        <v>614</v>
      </c>
      <c r="B333" t="s">
        <v>634</v>
      </c>
      <c r="C333" t="s">
        <v>130</v>
      </c>
      <c r="D333" t="s">
        <v>443</v>
      </c>
      <c r="E333" t="s">
        <v>31</v>
      </c>
      <c r="G333" t="s">
        <v>667</v>
      </c>
    </row>
    <row r="334" spans="1:7" x14ac:dyDescent="0.2">
      <c r="A334" t="s">
        <v>615</v>
      </c>
      <c r="B334" t="s">
        <v>634</v>
      </c>
      <c r="C334" t="s">
        <v>15</v>
      </c>
      <c r="D334" t="s">
        <v>54</v>
      </c>
      <c r="E334" t="s">
        <v>31</v>
      </c>
      <c r="G334" t="s">
        <v>670</v>
      </c>
    </row>
    <row r="335" spans="1:7" x14ac:dyDescent="0.2">
      <c r="A335" t="s">
        <v>616</v>
      </c>
      <c r="B335" t="s">
        <v>634</v>
      </c>
      <c r="C335" t="s">
        <v>15</v>
      </c>
      <c r="D335" t="s">
        <v>54</v>
      </c>
      <c r="E335" t="s">
        <v>31</v>
      </c>
      <c r="G335" t="s">
        <v>670</v>
      </c>
    </row>
    <row r="336" spans="1:7" x14ac:dyDescent="0.2">
      <c r="A336" t="s">
        <v>214</v>
      </c>
      <c r="B336" t="s">
        <v>634</v>
      </c>
      <c r="C336" t="s">
        <v>15</v>
      </c>
      <c r="D336" t="s">
        <v>54</v>
      </c>
      <c r="E336" t="s">
        <v>215</v>
      </c>
      <c r="F336" t="s">
        <v>216</v>
      </c>
      <c r="G336" t="s">
        <v>713</v>
      </c>
    </row>
    <row r="337" spans="1:7" x14ac:dyDescent="0.2">
      <c r="A337" t="s">
        <v>617</v>
      </c>
      <c r="B337" t="s">
        <v>634</v>
      </c>
      <c r="C337" t="s">
        <v>40</v>
      </c>
      <c r="D337" t="s">
        <v>16</v>
      </c>
      <c r="E337" t="s">
        <v>31</v>
      </c>
      <c r="G337" t="s">
        <v>647</v>
      </c>
    </row>
    <row r="338" spans="1:7" x14ac:dyDescent="0.2">
      <c r="A338" t="s">
        <v>618</v>
      </c>
      <c r="B338" t="s">
        <v>634</v>
      </c>
      <c r="C338" t="s">
        <v>40</v>
      </c>
      <c r="D338" t="s">
        <v>16</v>
      </c>
      <c r="E338" t="s">
        <v>31</v>
      </c>
      <c r="G338" t="s">
        <v>647</v>
      </c>
    </row>
    <row r="339" spans="1:7" x14ac:dyDescent="0.2">
      <c r="A339" t="s">
        <v>619</v>
      </c>
      <c r="B339" t="s">
        <v>637</v>
      </c>
      <c r="C339" t="s">
        <v>384</v>
      </c>
      <c r="D339" t="s">
        <v>388</v>
      </c>
      <c r="E339" t="s">
        <v>31</v>
      </c>
      <c r="G339" t="s">
        <v>656</v>
      </c>
    </row>
    <row r="340" spans="1:7" x14ac:dyDescent="0.2">
      <c r="A340" t="s">
        <v>195</v>
      </c>
      <c r="B340" t="s">
        <v>634</v>
      </c>
      <c r="C340" t="s">
        <v>87</v>
      </c>
      <c r="D340" t="s">
        <v>182</v>
      </c>
      <c r="E340" t="s">
        <v>31</v>
      </c>
      <c r="G340" t="s">
        <v>657</v>
      </c>
    </row>
    <row r="341" spans="1:7" x14ac:dyDescent="0.2">
      <c r="A341" t="s">
        <v>153</v>
      </c>
      <c r="B341" t="s">
        <v>637</v>
      </c>
      <c r="C341" t="s">
        <v>87</v>
      </c>
      <c r="D341" t="s">
        <v>154</v>
      </c>
      <c r="E341" t="s">
        <v>31</v>
      </c>
      <c r="G341" t="s">
        <v>640</v>
      </c>
    </row>
    <row r="342" spans="1:7" x14ac:dyDescent="0.2">
      <c r="A342" t="s">
        <v>620</v>
      </c>
      <c r="B342" t="s">
        <v>637</v>
      </c>
      <c r="C342" t="s">
        <v>87</v>
      </c>
      <c r="D342" t="s">
        <v>107</v>
      </c>
      <c r="E342" t="s">
        <v>31</v>
      </c>
      <c r="G342" t="s">
        <v>643</v>
      </c>
    </row>
    <row r="343" spans="1:7" x14ac:dyDescent="0.2">
      <c r="A343" t="s">
        <v>14</v>
      </c>
      <c r="B343" t="s">
        <v>637</v>
      </c>
      <c r="C343" t="s">
        <v>15</v>
      </c>
      <c r="D343" t="s">
        <v>16</v>
      </c>
      <c r="E343" t="s">
        <v>17</v>
      </c>
      <c r="F343" t="s">
        <v>18</v>
      </c>
      <c r="G343" t="s">
        <v>718</v>
      </c>
    </row>
    <row r="344" spans="1:7" x14ac:dyDescent="0.2">
      <c r="A344" t="s">
        <v>621</v>
      </c>
      <c r="B344" t="s">
        <v>634</v>
      </c>
      <c r="C344" t="s">
        <v>40</v>
      </c>
      <c r="D344" t="s">
        <v>16</v>
      </c>
      <c r="E344" t="s">
        <v>31</v>
      </c>
      <c r="G344" t="s">
        <v>647</v>
      </c>
    </row>
    <row r="345" spans="1:7" x14ac:dyDescent="0.2">
      <c r="A345" t="s">
        <v>622</v>
      </c>
      <c r="B345" t="s">
        <v>634</v>
      </c>
      <c r="C345" t="s">
        <v>87</v>
      </c>
      <c r="D345" t="s">
        <v>107</v>
      </c>
      <c r="E345" t="s">
        <v>31</v>
      </c>
      <c r="G345" t="s">
        <v>643</v>
      </c>
    </row>
    <row r="346" spans="1:7" x14ac:dyDescent="0.2">
      <c r="A346" t="s">
        <v>623</v>
      </c>
      <c r="B346" t="s">
        <v>637</v>
      </c>
      <c r="C346" t="s">
        <v>87</v>
      </c>
      <c r="D346" t="s">
        <v>599</v>
      </c>
      <c r="E346" t="s">
        <v>31</v>
      </c>
      <c r="G346" t="s">
        <v>714</v>
      </c>
    </row>
    <row r="347" spans="1:7" x14ac:dyDescent="0.2">
      <c r="A347" t="s">
        <v>624</v>
      </c>
      <c r="B347" t="s">
        <v>634</v>
      </c>
      <c r="C347" t="s">
        <v>79</v>
      </c>
      <c r="D347" t="s">
        <v>80</v>
      </c>
      <c r="E347" t="s">
        <v>31</v>
      </c>
      <c r="G347" t="s">
        <v>636</v>
      </c>
    </row>
    <row r="348" spans="1:7" x14ac:dyDescent="0.2">
      <c r="A348" t="s">
        <v>625</v>
      </c>
      <c r="B348" t="s">
        <v>634</v>
      </c>
      <c r="C348" t="s">
        <v>79</v>
      </c>
      <c r="D348" t="s">
        <v>80</v>
      </c>
      <c r="E348" t="s">
        <v>31</v>
      </c>
      <c r="G348" t="s">
        <v>636</v>
      </c>
    </row>
    <row r="349" spans="1:7" x14ac:dyDescent="0.2">
      <c r="A349" t="s">
        <v>114</v>
      </c>
      <c r="B349" t="s">
        <v>634</v>
      </c>
      <c r="C349" t="s">
        <v>15</v>
      </c>
      <c r="D349" t="s">
        <v>16</v>
      </c>
      <c r="E349" t="s">
        <v>31</v>
      </c>
      <c r="G349" t="s">
        <v>719</v>
      </c>
    </row>
    <row r="350" spans="1:7" x14ac:dyDescent="0.2">
      <c r="A350" t="s">
        <v>626</v>
      </c>
      <c r="B350" t="s">
        <v>634</v>
      </c>
      <c r="C350" t="s">
        <v>15</v>
      </c>
      <c r="D350" t="s">
        <v>16</v>
      </c>
      <c r="E350" t="s">
        <v>31</v>
      </c>
      <c r="G350" t="s">
        <v>719</v>
      </c>
    </row>
    <row r="351" spans="1:7" x14ac:dyDescent="0.2">
      <c r="A351" t="s">
        <v>627</v>
      </c>
      <c r="B351" t="s">
        <v>634</v>
      </c>
      <c r="C351" t="s">
        <v>130</v>
      </c>
      <c r="D351" t="s">
        <v>356</v>
      </c>
      <c r="E351" t="s">
        <v>31</v>
      </c>
      <c r="G351" t="s">
        <v>661</v>
      </c>
    </row>
    <row r="352" spans="1:7" x14ac:dyDescent="0.2">
      <c r="A352" t="s">
        <v>628</v>
      </c>
      <c r="B352" t="s">
        <v>634</v>
      </c>
      <c r="C352" t="s">
        <v>130</v>
      </c>
      <c r="D352" t="s">
        <v>356</v>
      </c>
      <c r="E352" t="s">
        <v>31</v>
      </c>
      <c r="G352" t="s">
        <v>661</v>
      </c>
    </row>
    <row r="353" spans="1:7" x14ac:dyDescent="0.2">
      <c r="A353" t="s">
        <v>629</v>
      </c>
      <c r="B353" t="s">
        <v>634</v>
      </c>
      <c r="C353" t="s">
        <v>79</v>
      </c>
      <c r="D353" t="s">
        <v>80</v>
      </c>
      <c r="E353" t="s">
        <v>31</v>
      </c>
      <c r="G353" t="s">
        <v>636</v>
      </c>
    </row>
    <row r="354" spans="1:7" x14ac:dyDescent="0.2">
      <c r="A354" t="s">
        <v>630</v>
      </c>
      <c r="B354" t="s">
        <v>634</v>
      </c>
      <c r="C354" t="s">
        <v>15</v>
      </c>
      <c r="D354" t="s">
        <v>80</v>
      </c>
      <c r="E354" t="s">
        <v>31</v>
      </c>
      <c r="G354" t="s">
        <v>720</v>
      </c>
    </row>
    <row r="355" spans="1:7" x14ac:dyDescent="0.2">
      <c r="A355" t="s">
        <v>631</v>
      </c>
      <c r="B355" t="s">
        <v>634</v>
      </c>
      <c r="C355" t="s">
        <v>278</v>
      </c>
      <c r="D355" t="s">
        <v>533</v>
      </c>
      <c r="E355" t="s">
        <v>31</v>
      </c>
      <c r="G355" t="s">
        <v>689</v>
      </c>
    </row>
    <row r="356" spans="1:7" x14ac:dyDescent="0.2">
      <c r="A356" t="s">
        <v>175</v>
      </c>
      <c r="B356" t="s">
        <v>637</v>
      </c>
      <c r="C356" t="s">
        <v>87</v>
      </c>
      <c r="D356" t="s">
        <v>96</v>
      </c>
      <c r="E356" t="s">
        <v>31</v>
      </c>
      <c r="G356" t="s">
        <v>642</v>
      </c>
    </row>
    <row r="357" spans="1:7" x14ac:dyDescent="0.2">
      <c r="A357" t="s">
        <v>177</v>
      </c>
      <c r="B357" t="s">
        <v>637</v>
      </c>
      <c r="C357" t="s">
        <v>15</v>
      </c>
      <c r="D357" t="s">
        <v>166</v>
      </c>
      <c r="E357" t="s">
        <v>31</v>
      </c>
      <c r="G357" t="s">
        <v>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9"/>
  <sheetViews>
    <sheetView workbookViewId="0"/>
  </sheetViews>
  <sheetFormatPr baseColWidth="10" defaultColWidth="8.83203125" defaultRowHeight="15" x14ac:dyDescent="0.2"/>
  <cols>
    <col min="1" max="1" width="33" customWidth="1"/>
    <col min="2" max="2" width="32" customWidth="1"/>
  </cols>
  <sheetData>
    <row r="1" spans="1:2" x14ac:dyDescent="0.2">
      <c r="A1" s="1" t="s">
        <v>5</v>
      </c>
      <c r="B1" s="1" t="s">
        <v>6</v>
      </c>
    </row>
    <row r="2" spans="1:2" x14ac:dyDescent="0.2">
      <c r="A2" t="s">
        <v>64</v>
      </c>
      <c r="B2" t="s">
        <v>721</v>
      </c>
    </row>
    <row r="3" spans="1:2" x14ac:dyDescent="0.2">
      <c r="A3" t="s">
        <v>64</v>
      </c>
      <c r="B3" t="s">
        <v>722</v>
      </c>
    </row>
    <row r="4" spans="1:2" x14ac:dyDescent="0.2">
      <c r="A4" t="s">
        <v>64</v>
      </c>
      <c r="B4" t="s">
        <v>723</v>
      </c>
    </row>
    <row r="5" spans="1:2" x14ac:dyDescent="0.2">
      <c r="A5" t="s">
        <v>64</v>
      </c>
      <c r="B5" t="s">
        <v>328</v>
      </c>
    </row>
    <row r="6" spans="1:2" x14ac:dyDescent="0.2">
      <c r="A6" t="s">
        <v>64</v>
      </c>
      <c r="B6" t="s">
        <v>724</v>
      </c>
    </row>
    <row r="7" spans="1:2" x14ac:dyDescent="0.2">
      <c r="A7" t="s">
        <v>64</v>
      </c>
      <c r="B7" t="s">
        <v>725</v>
      </c>
    </row>
    <row r="8" spans="1:2" x14ac:dyDescent="0.2">
      <c r="A8" t="s">
        <v>64</v>
      </c>
      <c r="B8" t="s">
        <v>726</v>
      </c>
    </row>
    <row r="9" spans="1:2" x14ac:dyDescent="0.2">
      <c r="A9" t="s">
        <v>64</v>
      </c>
      <c r="B9" t="s">
        <v>156</v>
      </c>
    </row>
    <row r="10" spans="1:2" x14ac:dyDescent="0.2">
      <c r="A10" t="s">
        <v>64</v>
      </c>
      <c r="B10" t="s">
        <v>727</v>
      </c>
    </row>
    <row r="11" spans="1:2" x14ac:dyDescent="0.2">
      <c r="A11" t="s">
        <v>64</v>
      </c>
      <c r="B11" t="s">
        <v>728</v>
      </c>
    </row>
    <row r="12" spans="1:2" x14ac:dyDescent="0.2">
      <c r="A12" t="s">
        <v>64</v>
      </c>
      <c r="B12" t="s">
        <v>729</v>
      </c>
    </row>
    <row r="13" spans="1:2" x14ac:dyDescent="0.2">
      <c r="A13" t="s">
        <v>64</v>
      </c>
      <c r="B13" t="s">
        <v>67</v>
      </c>
    </row>
    <row r="14" spans="1:2" x14ac:dyDescent="0.2">
      <c r="A14" t="s">
        <v>64</v>
      </c>
      <c r="B14" t="s">
        <v>316</v>
      </c>
    </row>
    <row r="15" spans="1:2" x14ac:dyDescent="0.2">
      <c r="A15" t="s">
        <v>64</v>
      </c>
      <c r="B15" t="s">
        <v>730</v>
      </c>
    </row>
    <row r="16" spans="1:2" x14ac:dyDescent="0.2">
      <c r="A16" t="s">
        <v>64</v>
      </c>
      <c r="B16" t="s">
        <v>65</v>
      </c>
    </row>
    <row r="17" spans="1:2" x14ac:dyDescent="0.2">
      <c r="A17" t="s">
        <v>64</v>
      </c>
      <c r="B17" t="s">
        <v>731</v>
      </c>
    </row>
    <row r="18" spans="1:2" x14ac:dyDescent="0.2">
      <c r="A18" t="s">
        <v>24</v>
      </c>
      <c r="B18" t="s">
        <v>179</v>
      </c>
    </row>
    <row r="19" spans="1:2" x14ac:dyDescent="0.2">
      <c r="A19" t="s">
        <v>24</v>
      </c>
      <c r="B19" t="s">
        <v>721</v>
      </c>
    </row>
    <row r="20" spans="1:2" x14ac:dyDescent="0.2">
      <c r="A20" t="s">
        <v>24</v>
      </c>
      <c r="B20" t="s">
        <v>152</v>
      </c>
    </row>
    <row r="21" spans="1:2" x14ac:dyDescent="0.2">
      <c r="A21" t="s">
        <v>24</v>
      </c>
      <c r="B21" t="s">
        <v>118</v>
      </c>
    </row>
    <row r="22" spans="1:2" x14ac:dyDescent="0.2">
      <c r="A22" t="s">
        <v>24</v>
      </c>
      <c r="B22" t="s">
        <v>185</v>
      </c>
    </row>
    <row r="23" spans="1:2" x14ac:dyDescent="0.2">
      <c r="A23" t="s">
        <v>24</v>
      </c>
      <c r="B23" t="s">
        <v>732</v>
      </c>
    </row>
    <row r="24" spans="1:2" x14ac:dyDescent="0.2">
      <c r="A24" t="s">
        <v>24</v>
      </c>
      <c r="B24" t="s">
        <v>733</v>
      </c>
    </row>
    <row r="25" spans="1:2" x14ac:dyDescent="0.2">
      <c r="A25" t="s">
        <v>24</v>
      </c>
      <c r="B25" t="s">
        <v>734</v>
      </c>
    </row>
    <row r="26" spans="1:2" x14ac:dyDescent="0.2">
      <c r="A26" t="s">
        <v>24</v>
      </c>
      <c r="B26" t="s">
        <v>725</v>
      </c>
    </row>
    <row r="27" spans="1:2" x14ac:dyDescent="0.2">
      <c r="A27" t="s">
        <v>24</v>
      </c>
      <c r="B27" t="s">
        <v>237</v>
      </c>
    </row>
    <row r="28" spans="1:2" x14ac:dyDescent="0.2">
      <c r="A28" t="s">
        <v>24</v>
      </c>
      <c r="B28" t="s">
        <v>735</v>
      </c>
    </row>
    <row r="29" spans="1:2" x14ac:dyDescent="0.2">
      <c r="A29" t="s">
        <v>24</v>
      </c>
      <c r="B29" t="s">
        <v>736</v>
      </c>
    </row>
    <row r="30" spans="1:2" x14ac:dyDescent="0.2">
      <c r="A30" t="s">
        <v>24</v>
      </c>
      <c r="B30" t="s">
        <v>737</v>
      </c>
    </row>
    <row r="31" spans="1:2" x14ac:dyDescent="0.2">
      <c r="A31" t="s">
        <v>24</v>
      </c>
      <c r="B31" t="s">
        <v>738</v>
      </c>
    </row>
    <row r="32" spans="1:2" x14ac:dyDescent="0.2">
      <c r="A32" t="s">
        <v>24</v>
      </c>
      <c r="B32" t="s">
        <v>739</v>
      </c>
    </row>
    <row r="33" spans="1:2" x14ac:dyDescent="0.2">
      <c r="A33" t="s">
        <v>24</v>
      </c>
      <c r="B33" t="s">
        <v>740</v>
      </c>
    </row>
    <row r="34" spans="1:2" x14ac:dyDescent="0.2">
      <c r="A34" t="s">
        <v>24</v>
      </c>
      <c r="B34" t="s">
        <v>741</v>
      </c>
    </row>
    <row r="35" spans="1:2" x14ac:dyDescent="0.2">
      <c r="A35" t="s">
        <v>24</v>
      </c>
      <c r="B35" t="s">
        <v>742</v>
      </c>
    </row>
    <row r="36" spans="1:2" x14ac:dyDescent="0.2">
      <c r="A36" t="s">
        <v>24</v>
      </c>
      <c r="B36" t="s">
        <v>743</v>
      </c>
    </row>
    <row r="37" spans="1:2" x14ac:dyDescent="0.2">
      <c r="A37" t="s">
        <v>24</v>
      </c>
      <c r="B37" t="s">
        <v>744</v>
      </c>
    </row>
    <row r="38" spans="1:2" x14ac:dyDescent="0.2">
      <c r="A38" t="s">
        <v>24</v>
      </c>
      <c r="B38" t="s">
        <v>745</v>
      </c>
    </row>
    <row r="39" spans="1:2" x14ac:dyDescent="0.2">
      <c r="A39" t="s">
        <v>24</v>
      </c>
      <c r="B39" t="s">
        <v>746</v>
      </c>
    </row>
    <row r="40" spans="1:2" x14ac:dyDescent="0.2">
      <c r="A40" t="s">
        <v>24</v>
      </c>
      <c r="B40" t="s">
        <v>747</v>
      </c>
    </row>
    <row r="41" spans="1:2" x14ac:dyDescent="0.2">
      <c r="A41" t="s">
        <v>24</v>
      </c>
      <c r="B41" t="s">
        <v>52</v>
      </c>
    </row>
    <row r="42" spans="1:2" x14ac:dyDescent="0.2">
      <c r="A42" t="s">
        <v>24</v>
      </c>
      <c r="B42" t="s">
        <v>726</v>
      </c>
    </row>
    <row r="43" spans="1:2" x14ac:dyDescent="0.2">
      <c r="A43" t="s">
        <v>24</v>
      </c>
      <c r="B43" t="s">
        <v>748</v>
      </c>
    </row>
    <row r="44" spans="1:2" x14ac:dyDescent="0.2">
      <c r="A44" t="s">
        <v>24</v>
      </c>
      <c r="B44" t="s">
        <v>156</v>
      </c>
    </row>
    <row r="45" spans="1:2" x14ac:dyDescent="0.2">
      <c r="A45" t="s">
        <v>24</v>
      </c>
      <c r="B45" t="s">
        <v>749</v>
      </c>
    </row>
    <row r="46" spans="1:2" x14ac:dyDescent="0.2">
      <c r="A46" t="s">
        <v>24</v>
      </c>
      <c r="B46" t="s">
        <v>750</v>
      </c>
    </row>
    <row r="47" spans="1:2" x14ac:dyDescent="0.2">
      <c r="A47" t="s">
        <v>24</v>
      </c>
      <c r="B47" t="s">
        <v>75</v>
      </c>
    </row>
    <row r="48" spans="1:2" x14ac:dyDescent="0.2">
      <c r="A48" t="s">
        <v>24</v>
      </c>
      <c r="B48" t="s">
        <v>171</v>
      </c>
    </row>
    <row r="49" spans="1:2" x14ac:dyDescent="0.2">
      <c r="A49" t="s">
        <v>24</v>
      </c>
      <c r="B49" t="s">
        <v>77</v>
      </c>
    </row>
    <row r="50" spans="1:2" x14ac:dyDescent="0.2">
      <c r="A50" t="s">
        <v>24</v>
      </c>
      <c r="B50" t="s">
        <v>164</v>
      </c>
    </row>
    <row r="51" spans="1:2" x14ac:dyDescent="0.2">
      <c r="A51" t="s">
        <v>24</v>
      </c>
      <c r="B51" t="s">
        <v>751</v>
      </c>
    </row>
    <row r="52" spans="1:2" x14ac:dyDescent="0.2">
      <c r="A52" t="s">
        <v>24</v>
      </c>
      <c r="B52" t="s">
        <v>752</v>
      </c>
    </row>
    <row r="53" spans="1:2" x14ac:dyDescent="0.2">
      <c r="A53" t="s">
        <v>24</v>
      </c>
      <c r="B53" t="s">
        <v>38</v>
      </c>
    </row>
    <row r="54" spans="1:2" x14ac:dyDescent="0.2">
      <c r="A54" t="s">
        <v>24</v>
      </c>
      <c r="B54" t="s">
        <v>753</v>
      </c>
    </row>
    <row r="55" spans="1:2" x14ac:dyDescent="0.2">
      <c r="A55" t="s">
        <v>24</v>
      </c>
      <c r="B55" t="s">
        <v>754</v>
      </c>
    </row>
    <row r="56" spans="1:2" x14ac:dyDescent="0.2">
      <c r="A56" t="s">
        <v>24</v>
      </c>
      <c r="B56" t="s">
        <v>56</v>
      </c>
    </row>
    <row r="57" spans="1:2" x14ac:dyDescent="0.2">
      <c r="A57" t="s">
        <v>24</v>
      </c>
      <c r="B57" t="s">
        <v>729</v>
      </c>
    </row>
    <row r="58" spans="1:2" x14ac:dyDescent="0.2">
      <c r="A58" t="s">
        <v>24</v>
      </c>
      <c r="B58" t="s">
        <v>755</v>
      </c>
    </row>
    <row r="59" spans="1:2" x14ac:dyDescent="0.2">
      <c r="A59" t="s">
        <v>24</v>
      </c>
      <c r="B59" t="s">
        <v>756</v>
      </c>
    </row>
    <row r="60" spans="1:2" x14ac:dyDescent="0.2">
      <c r="A60" t="s">
        <v>24</v>
      </c>
      <c r="B60" t="s">
        <v>192</v>
      </c>
    </row>
    <row r="61" spans="1:2" x14ac:dyDescent="0.2">
      <c r="A61" t="s">
        <v>24</v>
      </c>
      <c r="B61" t="s">
        <v>757</v>
      </c>
    </row>
    <row r="62" spans="1:2" x14ac:dyDescent="0.2">
      <c r="A62" t="s">
        <v>24</v>
      </c>
      <c r="B62" t="s">
        <v>758</v>
      </c>
    </row>
    <row r="63" spans="1:2" x14ac:dyDescent="0.2">
      <c r="A63" t="s">
        <v>24</v>
      </c>
      <c r="B63" t="s">
        <v>759</v>
      </c>
    </row>
    <row r="64" spans="1:2" x14ac:dyDescent="0.2">
      <c r="A64" t="s">
        <v>24</v>
      </c>
      <c r="B64" t="s">
        <v>760</v>
      </c>
    </row>
    <row r="65" spans="1:2" x14ac:dyDescent="0.2">
      <c r="A65" t="s">
        <v>24</v>
      </c>
      <c r="B65" t="s">
        <v>761</v>
      </c>
    </row>
    <row r="66" spans="1:2" x14ac:dyDescent="0.2">
      <c r="A66" t="s">
        <v>24</v>
      </c>
      <c r="B66" t="s">
        <v>762</v>
      </c>
    </row>
    <row r="67" spans="1:2" x14ac:dyDescent="0.2">
      <c r="A67" t="s">
        <v>24</v>
      </c>
      <c r="B67" t="s">
        <v>763</v>
      </c>
    </row>
    <row r="68" spans="1:2" x14ac:dyDescent="0.2">
      <c r="A68" t="s">
        <v>24</v>
      </c>
      <c r="B68" t="s">
        <v>36</v>
      </c>
    </row>
    <row r="69" spans="1:2" x14ac:dyDescent="0.2">
      <c r="A69" t="s">
        <v>24</v>
      </c>
      <c r="B69" t="s">
        <v>26</v>
      </c>
    </row>
    <row r="70" spans="1:2" x14ac:dyDescent="0.2">
      <c r="A70" t="s">
        <v>24</v>
      </c>
      <c r="B70" t="s">
        <v>167</v>
      </c>
    </row>
    <row r="71" spans="1:2" x14ac:dyDescent="0.2">
      <c r="A71" t="s">
        <v>24</v>
      </c>
      <c r="B71" t="s">
        <v>764</v>
      </c>
    </row>
    <row r="72" spans="1:2" x14ac:dyDescent="0.2">
      <c r="A72" t="s">
        <v>24</v>
      </c>
      <c r="B72" t="s">
        <v>67</v>
      </c>
    </row>
    <row r="73" spans="1:2" x14ac:dyDescent="0.2">
      <c r="A73" t="s">
        <v>24</v>
      </c>
      <c r="B73" t="s">
        <v>162</v>
      </c>
    </row>
    <row r="74" spans="1:2" x14ac:dyDescent="0.2">
      <c r="A74" t="s">
        <v>24</v>
      </c>
      <c r="B74" t="s">
        <v>765</v>
      </c>
    </row>
    <row r="75" spans="1:2" x14ac:dyDescent="0.2">
      <c r="A75" t="s">
        <v>24</v>
      </c>
      <c r="B75" t="s">
        <v>169</v>
      </c>
    </row>
    <row r="76" spans="1:2" x14ac:dyDescent="0.2">
      <c r="A76" t="s">
        <v>24</v>
      </c>
      <c r="B76" t="s">
        <v>88</v>
      </c>
    </row>
    <row r="77" spans="1:2" x14ac:dyDescent="0.2">
      <c r="A77" t="s">
        <v>24</v>
      </c>
      <c r="B77" t="s">
        <v>766</v>
      </c>
    </row>
    <row r="78" spans="1:2" x14ac:dyDescent="0.2">
      <c r="A78" t="s">
        <v>24</v>
      </c>
      <c r="B78" t="s">
        <v>101</v>
      </c>
    </row>
    <row r="79" spans="1:2" x14ac:dyDescent="0.2">
      <c r="A79" t="s">
        <v>24</v>
      </c>
      <c r="B79" t="s">
        <v>767</v>
      </c>
    </row>
    <row r="80" spans="1:2" x14ac:dyDescent="0.2">
      <c r="A80" t="s">
        <v>24</v>
      </c>
      <c r="B80" t="s">
        <v>768</v>
      </c>
    </row>
    <row r="81" spans="1:2" x14ac:dyDescent="0.2">
      <c r="A81" t="s">
        <v>24</v>
      </c>
      <c r="B81" t="s">
        <v>59</v>
      </c>
    </row>
    <row r="82" spans="1:2" x14ac:dyDescent="0.2">
      <c r="A82" t="s">
        <v>24</v>
      </c>
      <c r="B82" t="s">
        <v>769</v>
      </c>
    </row>
    <row r="83" spans="1:2" x14ac:dyDescent="0.2">
      <c r="A83" t="s">
        <v>24</v>
      </c>
      <c r="B83" t="s">
        <v>770</v>
      </c>
    </row>
    <row r="84" spans="1:2" x14ac:dyDescent="0.2">
      <c r="A84" t="s">
        <v>24</v>
      </c>
      <c r="B84" t="s">
        <v>97</v>
      </c>
    </row>
    <row r="85" spans="1:2" x14ac:dyDescent="0.2">
      <c r="A85" t="s">
        <v>24</v>
      </c>
      <c r="B85" t="s">
        <v>186</v>
      </c>
    </row>
    <row r="86" spans="1:2" x14ac:dyDescent="0.2">
      <c r="A86" t="s">
        <v>24</v>
      </c>
      <c r="B86" t="s">
        <v>730</v>
      </c>
    </row>
    <row r="87" spans="1:2" x14ac:dyDescent="0.2">
      <c r="A87" t="s">
        <v>24</v>
      </c>
      <c r="B87" t="s">
        <v>771</v>
      </c>
    </row>
    <row r="88" spans="1:2" x14ac:dyDescent="0.2">
      <c r="A88" t="s">
        <v>24</v>
      </c>
      <c r="B88" t="s">
        <v>81</v>
      </c>
    </row>
    <row r="89" spans="1:2" x14ac:dyDescent="0.2">
      <c r="A89" t="s">
        <v>24</v>
      </c>
      <c r="B89" t="s">
        <v>772</v>
      </c>
    </row>
    <row r="90" spans="1:2" x14ac:dyDescent="0.2">
      <c r="A90" t="s">
        <v>24</v>
      </c>
      <c r="B90" t="s">
        <v>104</v>
      </c>
    </row>
    <row r="91" spans="1:2" x14ac:dyDescent="0.2">
      <c r="A91" t="s">
        <v>24</v>
      </c>
      <c r="B91" t="s">
        <v>773</v>
      </c>
    </row>
    <row r="92" spans="1:2" x14ac:dyDescent="0.2">
      <c r="A92" t="s">
        <v>24</v>
      </c>
      <c r="B92" t="s">
        <v>183</v>
      </c>
    </row>
    <row r="93" spans="1:2" x14ac:dyDescent="0.2">
      <c r="A93" t="s">
        <v>24</v>
      </c>
      <c r="B93" t="s">
        <v>28</v>
      </c>
    </row>
    <row r="94" spans="1:2" x14ac:dyDescent="0.2">
      <c r="A94" t="s">
        <v>24</v>
      </c>
      <c r="B94" t="s">
        <v>774</v>
      </c>
    </row>
    <row r="95" spans="1:2" x14ac:dyDescent="0.2">
      <c r="A95" t="s">
        <v>24</v>
      </c>
      <c r="B95" t="s">
        <v>200</v>
      </c>
    </row>
    <row r="96" spans="1:2" x14ac:dyDescent="0.2">
      <c r="A96" t="s">
        <v>24</v>
      </c>
      <c r="B96" t="s">
        <v>775</v>
      </c>
    </row>
    <row r="97" spans="1:2" x14ac:dyDescent="0.2">
      <c r="A97" t="s">
        <v>24</v>
      </c>
      <c r="B97" t="s">
        <v>776</v>
      </c>
    </row>
    <row r="98" spans="1:2" x14ac:dyDescent="0.2">
      <c r="A98" t="s">
        <v>24</v>
      </c>
      <c r="B98" t="s">
        <v>777</v>
      </c>
    </row>
    <row r="99" spans="1:2" x14ac:dyDescent="0.2">
      <c r="A99" t="s">
        <v>24</v>
      </c>
      <c r="B99" t="s">
        <v>203</v>
      </c>
    </row>
    <row r="100" spans="1:2" x14ac:dyDescent="0.2">
      <c r="A100" t="s">
        <v>24</v>
      </c>
      <c r="B100" t="s">
        <v>778</v>
      </c>
    </row>
    <row r="101" spans="1:2" x14ac:dyDescent="0.2">
      <c r="A101" t="s">
        <v>24</v>
      </c>
      <c r="B101" t="s">
        <v>779</v>
      </c>
    </row>
    <row r="102" spans="1:2" x14ac:dyDescent="0.2">
      <c r="A102" t="s">
        <v>24</v>
      </c>
      <c r="B102" t="s">
        <v>780</v>
      </c>
    </row>
    <row r="103" spans="1:2" x14ac:dyDescent="0.2">
      <c r="A103" t="s">
        <v>24</v>
      </c>
      <c r="B103" t="s">
        <v>781</v>
      </c>
    </row>
    <row r="104" spans="1:2" x14ac:dyDescent="0.2">
      <c r="A104" t="s">
        <v>24</v>
      </c>
      <c r="B104" t="s">
        <v>782</v>
      </c>
    </row>
    <row r="105" spans="1:2" x14ac:dyDescent="0.2">
      <c r="A105" t="s">
        <v>24</v>
      </c>
      <c r="B105" t="s">
        <v>783</v>
      </c>
    </row>
    <row r="106" spans="1:2" x14ac:dyDescent="0.2">
      <c r="A106" t="s">
        <v>24</v>
      </c>
      <c r="B106" t="s">
        <v>784</v>
      </c>
    </row>
    <row r="107" spans="1:2" x14ac:dyDescent="0.2">
      <c r="A107" t="s">
        <v>24</v>
      </c>
      <c r="B107" t="s">
        <v>90</v>
      </c>
    </row>
    <row r="108" spans="1:2" x14ac:dyDescent="0.2">
      <c r="A108" t="s">
        <v>24</v>
      </c>
      <c r="B108" t="s">
        <v>785</v>
      </c>
    </row>
    <row r="109" spans="1:2" x14ac:dyDescent="0.2">
      <c r="A109" t="s">
        <v>24</v>
      </c>
      <c r="B109" t="s">
        <v>102</v>
      </c>
    </row>
    <row r="110" spans="1:2" x14ac:dyDescent="0.2">
      <c r="A110" t="s">
        <v>24</v>
      </c>
      <c r="B110" t="s">
        <v>66</v>
      </c>
    </row>
    <row r="111" spans="1:2" x14ac:dyDescent="0.2">
      <c r="A111" t="s">
        <v>24</v>
      </c>
      <c r="B111" t="s">
        <v>71</v>
      </c>
    </row>
    <row r="112" spans="1:2" x14ac:dyDescent="0.2">
      <c r="A112" t="s">
        <v>24</v>
      </c>
      <c r="B112" t="s">
        <v>786</v>
      </c>
    </row>
    <row r="113" spans="1:2" x14ac:dyDescent="0.2">
      <c r="A113" t="s">
        <v>24</v>
      </c>
      <c r="B113" t="s">
        <v>99</v>
      </c>
    </row>
    <row r="114" spans="1:2" x14ac:dyDescent="0.2">
      <c r="A114" t="s">
        <v>24</v>
      </c>
      <c r="B114" t="s">
        <v>173</v>
      </c>
    </row>
    <row r="115" spans="1:2" x14ac:dyDescent="0.2">
      <c r="A115" t="s">
        <v>24</v>
      </c>
      <c r="B115" t="s">
        <v>159</v>
      </c>
    </row>
    <row r="116" spans="1:2" x14ac:dyDescent="0.2">
      <c r="A116" t="s">
        <v>24</v>
      </c>
      <c r="B116" t="s">
        <v>217</v>
      </c>
    </row>
    <row r="117" spans="1:2" x14ac:dyDescent="0.2">
      <c r="A117" t="s">
        <v>24</v>
      </c>
      <c r="B117" t="s">
        <v>138</v>
      </c>
    </row>
    <row r="118" spans="1:2" x14ac:dyDescent="0.2">
      <c r="A118" t="s">
        <v>24</v>
      </c>
      <c r="B118" t="s">
        <v>787</v>
      </c>
    </row>
    <row r="119" spans="1:2" x14ac:dyDescent="0.2">
      <c r="A119" t="s">
        <v>24</v>
      </c>
      <c r="B119" t="s">
        <v>788</v>
      </c>
    </row>
    <row r="120" spans="1:2" x14ac:dyDescent="0.2">
      <c r="A120" t="s">
        <v>24</v>
      </c>
      <c r="B120" t="s">
        <v>194</v>
      </c>
    </row>
    <row r="121" spans="1:2" x14ac:dyDescent="0.2">
      <c r="A121" t="s">
        <v>24</v>
      </c>
      <c r="B121" t="s">
        <v>176</v>
      </c>
    </row>
    <row r="122" spans="1:2" x14ac:dyDescent="0.2">
      <c r="A122" t="s">
        <v>143</v>
      </c>
      <c r="B122" t="s">
        <v>721</v>
      </c>
    </row>
    <row r="123" spans="1:2" x14ac:dyDescent="0.2">
      <c r="A123" t="s">
        <v>143</v>
      </c>
      <c r="B123" t="s">
        <v>150</v>
      </c>
    </row>
    <row r="124" spans="1:2" x14ac:dyDescent="0.2">
      <c r="A124" t="s">
        <v>143</v>
      </c>
      <c r="B124" t="s">
        <v>789</v>
      </c>
    </row>
    <row r="125" spans="1:2" x14ac:dyDescent="0.2">
      <c r="A125" t="s">
        <v>143</v>
      </c>
      <c r="B125" t="s">
        <v>144</v>
      </c>
    </row>
    <row r="126" spans="1:2" x14ac:dyDescent="0.2">
      <c r="A126" t="s">
        <v>143</v>
      </c>
      <c r="B126" t="s">
        <v>790</v>
      </c>
    </row>
    <row r="127" spans="1:2" x14ac:dyDescent="0.2">
      <c r="A127" t="s">
        <v>143</v>
      </c>
      <c r="B127" t="s">
        <v>147</v>
      </c>
    </row>
    <row r="128" spans="1:2" x14ac:dyDescent="0.2">
      <c r="A128" t="s">
        <v>143</v>
      </c>
      <c r="B128" t="s">
        <v>725</v>
      </c>
    </row>
    <row r="129" spans="1:2" x14ac:dyDescent="0.2">
      <c r="A129" t="s">
        <v>143</v>
      </c>
      <c r="B129" t="s">
        <v>726</v>
      </c>
    </row>
    <row r="130" spans="1:2" x14ac:dyDescent="0.2">
      <c r="A130" t="s">
        <v>143</v>
      </c>
      <c r="B130" t="s">
        <v>729</v>
      </c>
    </row>
    <row r="131" spans="1:2" x14ac:dyDescent="0.2">
      <c r="A131" t="s">
        <v>143</v>
      </c>
      <c r="B131" t="s">
        <v>791</v>
      </c>
    </row>
    <row r="132" spans="1:2" x14ac:dyDescent="0.2">
      <c r="A132" t="s">
        <v>143</v>
      </c>
      <c r="B132" t="s">
        <v>730</v>
      </c>
    </row>
    <row r="133" spans="1:2" x14ac:dyDescent="0.2">
      <c r="A133" t="s">
        <v>143</v>
      </c>
      <c r="B133" t="s">
        <v>148</v>
      </c>
    </row>
    <row r="134" spans="1:2" x14ac:dyDescent="0.2">
      <c r="A134" t="s">
        <v>61</v>
      </c>
      <c r="B134" t="s">
        <v>721</v>
      </c>
    </row>
    <row r="135" spans="1:2" x14ac:dyDescent="0.2">
      <c r="A135" t="s">
        <v>61</v>
      </c>
      <c r="B135" t="s">
        <v>152</v>
      </c>
    </row>
    <row r="136" spans="1:2" x14ac:dyDescent="0.2">
      <c r="A136" t="s">
        <v>61</v>
      </c>
      <c r="B136" t="s">
        <v>725</v>
      </c>
    </row>
    <row r="137" spans="1:2" x14ac:dyDescent="0.2">
      <c r="A137" t="s">
        <v>61</v>
      </c>
      <c r="B137" t="s">
        <v>726</v>
      </c>
    </row>
    <row r="138" spans="1:2" x14ac:dyDescent="0.2">
      <c r="A138" t="s">
        <v>61</v>
      </c>
      <c r="B138" t="s">
        <v>156</v>
      </c>
    </row>
    <row r="139" spans="1:2" x14ac:dyDescent="0.2">
      <c r="A139" t="s">
        <v>61</v>
      </c>
      <c r="B139" t="s">
        <v>171</v>
      </c>
    </row>
    <row r="140" spans="1:2" x14ac:dyDescent="0.2">
      <c r="A140" t="s">
        <v>61</v>
      </c>
      <c r="B140" t="s">
        <v>329</v>
      </c>
    </row>
    <row r="141" spans="1:2" x14ac:dyDescent="0.2">
      <c r="A141" t="s">
        <v>61</v>
      </c>
      <c r="B141" t="s">
        <v>792</v>
      </c>
    </row>
    <row r="142" spans="1:2" x14ac:dyDescent="0.2">
      <c r="A142" t="s">
        <v>61</v>
      </c>
      <c r="B142" t="s">
        <v>729</v>
      </c>
    </row>
    <row r="143" spans="1:2" x14ac:dyDescent="0.2">
      <c r="A143" t="s">
        <v>61</v>
      </c>
      <c r="B143" t="s">
        <v>167</v>
      </c>
    </row>
    <row r="144" spans="1:2" x14ac:dyDescent="0.2">
      <c r="A144" t="s">
        <v>61</v>
      </c>
      <c r="B144" t="s">
        <v>67</v>
      </c>
    </row>
    <row r="145" spans="1:2" x14ac:dyDescent="0.2">
      <c r="A145" t="s">
        <v>61</v>
      </c>
      <c r="B145" t="s">
        <v>316</v>
      </c>
    </row>
    <row r="146" spans="1:2" x14ac:dyDescent="0.2">
      <c r="A146" t="s">
        <v>61</v>
      </c>
      <c r="B146" t="s">
        <v>331</v>
      </c>
    </row>
    <row r="147" spans="1:2" x14ac:dyDescent="0.2">
      <c r="A147" t="s">
        <v>61</v>
      </c>
      <c r="B147" t="s">
        <v>88</v>
      </c>
    </row>
    <row r="148" spans="1:2" x14ac:dyDescent="0.2">
      <c r="A148" t="s">
        <v>61</v>
      </c>
      <c r="B148" t="s">
        <v>766</v>
      </c>
    </row>
    <row r="149" spans="1:2" x14ac:dyDescent="0.2">
      <c r="A149" t="s">
        <v>61</v>
      </c>
      <c r="B149" t="s">
        <v>101</v>
      </c>
    </row>
    <row r="150" spans="1:2" x14ac:dyDescent="0.2">
      <c r="A150" t="s">
        <v>61</v>
      </c>
      <c r="B150" t="s">
        <v>767</v>
      </c>
    </row>
    <row r="151" spans="1:2" x14ac:dyDescent="0.2">
      <c r="A151" t="s">
        <v>61</v>
      </c>
      <c r="B151" t="s">
        <v>768</v>
      </c>
    </row>
    <row r="152" spans="1:2" x14ac:dyDescent="0.2">
      <c r="A152" t="s">
        <v>61</v>
      </c>
      <c r="B152" t="s">
        <v>62</v>
      </c>
    </row>
    <row r="153" spans="1:2" x14ac:dyDescent="0.2">
      <c r="A153" t="s">
        <v>61</v>
      </c>
      <c r="B153" t="s">
        <v>97</v>
      </c>
    </row>
    <row r="154" spans="1:2" x14ac:dyDescent="0.2">
      <c r="A154" t="s">
        <v>61</v>
      </c>
      <c r="B154" t="s">
        <v>730</v>
      </c>
    </row>
    <row r="155" spans="1:2" x14ac:dyDescent="0.2">
      <c r="A155" t="s">
        <v>61</v>
      </c>
      <c r="B155" t="s">
        <v>183</v>
      </c>
    </row>
    <row r="156" spans="1:2" x14ac:dyDescent="0.2">
      <c r="A156" t="s">
        <v>61</v>
      </c>
      <c r="B156" t="s">
        <v>90</v>
      </c>
    </row>
    <row r="157" spans="1:2" x14ac:dyDescent="0.2">
      <c r="A157" t="s">
        <v>61</v>
      </c>
      <c r="B157" t="s">
        <v>785</v>
      </c>
    </row>
    <row r="158" spans="1:2" x14ac:dyDescent="0.2">
      <c r="A158" t="s">
        <v>61</v>
      </c>
      <c r="B158" t="s">
        <v>102</v>
      </c>
    </row>
    <row r="159" spans="1:2" x14ac:dyDescent="0.2">
      <c r="A159" t="s">
        <v>61</v>
      </c>
      <c r="B159" t="s">
        <v>73</v>
      </c>
    </row>
    <row r="160" spans="1:2" x14ac:dyDescent="0.2">
      <c r="A160" t="s">
        <v>61</v>
      </c>
      <c r="B160" t="s">
        <v>99</v>
      </c>
    </row>
    <row r="161" spans="1:2" x14ac:dyDescent="0.2">
      <c r="A161" t="s">
        <v>61</v>
      </c>
      <c r="B161" t="s">
        <v>173</v>
      </c>
    </row>
    <row r="162" spans="1:2" x14ac:dyDescent="0.2">
      <c r="A162" t="s">
        <v>61</v>
      </c>
      <c r="B162" t="s">
        <v>159</v>
      </c>
    </row>
    <row r="163" spans="1:2" x14ac:dyDescent="0.2">
      <c r="A163" t="s">
        <v>61</v>
      </c>
      <c r="B163" t="s">
        <v>787</v>
      </c>
    </row>
    <row r="164" spans="1:2" x14ac:dyDescent="0.2">
      <c r="A164" t="s">
        <v>61</v>
      </c>
      <c r="B164" t="s">
        <v>788</v>
      </c>
    </row>
    <row r="165" spans="1:2" x14ac:dyDescent="0.2">
      <c r="A165" t="s">
        <v>61</v>
      </c>
      <c r="B165" t="s">
        <v>793</v>
      </c>
    </row>
    <row r="166" spans="1:2" x14ac:dyDescent="0.2">
      <c r="A166" t="s">
        <v>61</v>
      </c>
      <c r="B166" t="s">
        <v>176</v>
      </c>
    </row>
    <row r="167" spans="1:2" x14ac:dyDescent="0.2">
      <c r="A167" t="s">
        <v>19</v>
      </c>
      <c r="B167" t="s">
        <v>794</v>
      </c>
    </row>
    <row r="168" spans="1:2" x14ac:dyDescent="0.2">
      <c r="A168" t="s">
        <v>19</v>
      </c>
      <c r="B168" t="s">
        <v>108</v>
      </c>
    </row>
    <row r="169" spans="1:2" x14ac:dyDescent="0.2">
      <c r="A169" t="s">
        <v>19</v>
      </c>
      <c r="B169" t="s">
        <v>795</v>
      </c>
    </row>
    <row r="170" spans="1:2" x14ac:dyDescent="0.2">
      <c r="A170" t="s">
        <v>19</v>
      </c>
      <c r="B170" t="s">
        <v>796</v>
      </c>
    </row>
    <row r="171" spans="1:2" x14ac:dyDescent="0.2">
      <c r="A171" t="s">
        <v>19</v>
      </c>
      <c r="B171" t="s">
        <v>797</v>
      </c>
    </row>
    <row r="172" spans="1:2" x14ac:dyDescent="0.2">
      <c r="A172" t="s">
        <v>19</v>
      </c>
      <c r="B172" t="s">
        <v>798</v>
      </c>
    </row>
    <row r="173" spans="1:2" x14ac:dyDescent="0.2">
      <c r="A173" t="s">
        <v>19</v>
      </c>
      <c r="B173" t="s">
        <v>799</v>
      </c>
    </row>
    <row r="174" spans="1:2" x14ac:dyDescent="0.2">
      <c r="A174" t="s">
        <v>19</v>
      </c>
      <c r="B174" t="s">
        <v>35</v>
      </c>
    </row>
    <row r="175" spans="1:2" x14ac:dyDescent="0.2">
      <c r="A175" t="s">
        <v>19</v>
      </c>
      <c r="B175" t="s">
        <v>800</v>
      </c>
    </row>
    <row r="176" spans="1:2" x14ac:dyDescent="0.2">
      <c r="A176" t="s">
        <v>19</v>
      </c>
      <c r="B176" t="s">
        <v>137</v>
      </c>
    </row>
    <row r="177" spans="1:2" x14ac:dyDescent="0.2">
      <c r="A177" t="s">
        <v>19</v>
      </c>
      <c r="B177" t="s">
        <v>801</v>
      </c>
    </row>
    <row r="178" spans="1:2" x14ac:dyDescent="0.2">
      <c r="A178" t="s">
        <v>19</v>
      </c>
      <c r="B178" t="s">
        <v>802</v>
      </c>
    </row>
    <row r="179" spans="1:2" x14ac:dyDescent="0.2">
      <c r="A179" t="s">
        <v>19</v>
      </c>
      <c r="B179" t="s">
        <v>803</v>
      </c>
    </row>
    <row r="180" spans="1:2" x14ac:dyDescent="0.2">
      <c r="A180" t="s">
        <v>19</v>
      </c>
      <c r="B180" t="s">
        <v>804</v>
      </c>
    </row>
    <row r="181" spans="1:2" x14ac:dyDescent="0.2">
      <c r="A181" t="s">
        <v>19</v>
      </c>
      <c r="B181" t="s">
        <v>219</v>
      </c>
    </row>
    <row r="182" spans="1:2" x14ac:dyDescent="0.2">
      <c r="A182" t="s">
        <v>19</v>
      </c>
      <c r="B182" t="s">
        <v>20</v>
      </c>
    </row>
    <row r="183" spans="1:2" x14ac:dyDescent="0.2">
      <c r="A183" t="s">
        <v>19</v>
      </c>
      <c r="B183" t="s">
        <v>805</v>
      </c>
    </row>
    <row r="184" spans="1:2" x14ac:dyDescent="0.2">
      <c r="A184" t="s">
        <v>19</v>
      </c>
      <c r="B184" t="s">
        <v>806</v>
      </c>
    </row>
    <row r="185" spans="1:2" x14ac:dyDescent="0.2">
      <c r="A185" t="s">
        <v>19</v>
      </c>
      <c r="B185" t="s">
        <v>298</v>
      </c>
    </row>
    <row r="186" spans="1:2" x14ac:dyDescent="0.2">
      <c r="A186" t="s">
        <v>19</v>
      </c>
      <c r="B186" t="s">
        <v>807</v>
      </c>
    </row>
    <row r="187" spans="1:2" x14ac:dyDescent="0.2">
      <c r="A187" t="s">
        <v>19</v>
      </c>
      <c r="B187" t="s">
        <v>808</v>
      </c>
    </row>
    <row r="188" spans="1:2" x14ac:dyDescent="0.2">
      <c r="A188" t="s">
        <v>19</v>
      </c>
      <c r="B188" t="s">
        <v>725</v>
      </c>
    </row>
    <row r="189" spans="1:2" x14ac:dyDescent="0.2">
      <c r="A189" t="s">
        <v>19</v>
      </c>
      <c r="B189" t="s">
        <v>809</v>
      </c>
    </row>
    <row r="190" spans="1:2" x14ac:dyDescent="0.2">
      <c r="A190" t="s">
        <v>19</v>
      </c>
      <c r="B190" t="s">
        <v>810</v>
      </c>
    </row>
    <row r="191" spans="1:2" x14ac:dyDescent="0.2">
      <c r="A191" t="s">
        <v>19</v>
      </c>
      <c r="B191" t="s">
        <v>50</v>
      </c>
    </row>
    <row r="192" spans="1:2" x14ac:dyDescent="0.2">
      <c r="A192" t="s">
        <v>19</v>
      </c>
      <c r="B192" t="s">
        <v>726</v>
      </c>
    </row>
    <row r="193" spans="1:2" x14ac:dyDescent="0.2">
      <c r="A193" t="s">
        <v>19</v>
      </c>
      <c r="B193" t="s">
        <v>811</v>
      </c>
    </row>
    <row r="194" spans="1:2" x14ac:dyDescent="0.2">
      <c r="A194" t="s">
        <v>19</v>
      </c>
      <c r="B194" t="s">
        <v>45</v>
      </c>
    </row>
    <row r="195" spans="1:2" x14ac:dyDescent="0.2">
      <c r="A195" t="s">
        <v>19</v>
      </c>
      <c r="B195" t="s">
        <v>812</v>
      </c>
    </row>
    <row r="196" spans="1:2" x14ac:dyDescent="0.2">
      <c r="A196" t="s">
        <v>19</v>
      </c>
      <c r="B196" t="s">
        <v>42</v>
      </c>
    </row>
    <row r="197" spans="1:2" x14ac:dyDescent="0.2">
      <c r="A197" t="s">
        <v>19</v>
      </c>
      <c r="B197" t="s">
        <v>46</v>
      </c>
    </row>
    <row r="198" spans="1:2" x14ac:dyDescent="0.2">
      <c r="A198" t="s">
        <v>19</v>
      </c>
      <c r="B198" t="s">
        <v>47</v>
      </c>
    </row>
    <row r="199" spans="1:2" x14ac:dyDescent="0.2">
      <c r="A199" t="s">
        <v>19</v>
      </c>
      <c r="B199" t="s">
        <v>813</v>
      </c>
    </row>
    <row r="200" spans="1:2" x14ac:dyDescent="0.2">
      <c r="A200" t="s">
        <v>19</v>
      </c>
      <c r="B200" t="s">
        <v>814</v>
      </c>
    </row>
    <row r="201" spans="1:2" x14ac:dyDescent="0.2">
      <c r="A201" t="s">
        <v>19</v>
      </c>
      <c r="B201" t="s">
        <v>815</v>
      </c>
    </row>
    <row r="202" spans="1:2" x14ac:dyDescent="0.2">
      <c r="A202" t="s">
        <v>19</v>
      </c>
      <c r="B202" t="s">
        <v>234</v>
      </c>
    </row>
    <row r="203" spans="1:2" x14ac:dyDescent="0.2">
      <c r="A203" t="s">
        <v>19</v>
      </c>
      <c r="B203" t="s">
        <v>816</v>
      </c>
    </row>
    <row r="204" spans="1:2" x14ac:dyDescent="0.2">
      <c r="A204" t="s">
        <v>19</v>
      </c>
      <c r="B204" t="s">
        <v>817</v>
      </c>
    </row>
    <row r="205" spans="1:2" x14ac:dyDescent="0.2">
      <c r="A205" t="s">
        <v>19</v>
      </c>
      <c r="B205" t="s">
        <v>818</v>
      </c>
    </row>
    <row r="206" spans="1:2" x14ac:dyDescent="0.2">
      <c r="A206" t="s">
        <v>19</v>
      </c>
      <c r="B206" t="s">
        <v>749</v>
      </c>
    </row>
    <row r="207" spans="1:2" x14ac:dyDescent="0.2">
      <c r="A207" t="s">
        <v>19</v>
      </c>
      <c r="B207" t="s">
        <v>819</v>
      </c>
    </row>
    <row r="208" spans="1:2" x14ac:dyDescent="0.2">
      <c r="A208" t="s">
        <v>19</v>
      </c>
      <c r="B208" t="s">
        <v>820</v>
      </c>
    </row>
    <row r="209" spans="1:2" x14ac:dyDescent="0.2">
      <c r="A209" t="s">
        <v>19</v>
      </c>
      <c r="B209" t="s">
        <v>821</v>
      </c>
    </row>
    <row r="210" spans="1:2" x14ac:dyDescent="0.2">
      <c r="A210" t="s">
        <v>19</v>
      </c>
      <c r="B210" t="s">
        <v>822</v>
      </c>
    </row>
    <row r="211" spans="1:2" x14ac:dyDescent="0.2">
      <c r="A211" t="s">
        <v>19</v>
      </c>
      <c r="B211" t="s">
        <v>117</v>
      </c>
    </row>
    <row r="212" spans="1:2" x14ac:dyDescent="0.2">
      <c r="A212" t="s">
        <v>19</v>
      </c>
      <c r="B212" t="s">
        <v>823</v>
      </c>
    </row>
    <row r="213" spans="1:2" x14ac:dyDescent="0.2">
      <c r="A213" t="s">
        <v>19</v>
      </c>
      <c r="B213" t="s">
        <v>824</v>
      </c>
    </row>
    <row r="214" spans="1:2" x14ac:dyDescent="0.2">
      <c r="A214" t="s">
        <v>19</v>
      </c>
      <c r="B214" t="s">
        <v>825</v>
      </c>
    </row>
    <row r="215" spans="1:2" x14ac:dyDescent="0.2">
      <c r="A215" t="s">
        <v>19</v>
      </c>
      <c r="B215" t="s">
        <v>826</v>
      </c>
    </row>
    <row r="216" spans="1:2" x14ac:dyDescent="0.2">
      <c r="A216" t="s">
        <v>19</v>
      </c>
      <c r="B216" t="s">
        <v>276</v>
      </c>
    </row>
    <row r="217" spans="1:2" x14ac:dyDescent="0.2">
      <c r="A217" t="s">
        <v>19</v>
      </c>
      <c r="B217" t="s">
        <v>229</v>
      </c>
    </row>
    <row r="218" spans="1:2" x14ac:dyDescent="0.2">
      <c r="A218" t="s">
        <v>19</v>
      </c>
      <c r="B218" t="s">
        <v>257</v>
      </c>
    </row>
    <row r="219" spans="1:2" x14ac:dyDescent="0.2">
      <c r="A219" t="s">
        <v>19</v>
      </c>
      <c r="B219" t="s">
        <v>255</v>
      </c>
    </row>
    <row r="220" spans="1:2" x14ac:dyDescent="0.2">
      <c r="A220" t="s">
        <v>19</v>
      </c>
      <c r="B220" t="s">
        <v>259</v>
      </c>
    </row>
    <row r="221" spans="1:2" x14ac:dyDescent="0.2">
      <c r="A221" t="s">
        <v>19</v>
      </c>
      <c r="B221" t="s">
        <v>263</v>
      </c>
    </row>
    <row r="222" spans="1:2" x14ac:dyDescent="0.2">
      <c r="A222" t="s">
        <v>19</v>
      </c>
      <c r="B222" t="s">
        <v>300</v>
      </c>
    </row>
    <row r="223" spans="1:2" x14ac:dyDescent="0.2">
      <c r="A223" t="s">
        <v>19</v>
      </c>
      <c r="B223" t="s">
        <v>125</v>
      </c>
    </row>
    <row r="224" spans="1:2" x14ac:dyDescent="0.2">
      <c r="A224" t="s">
        <v>19</v>
      </c>
      <c r="B224" t="s">
        <v>827</v>
      </c>
    </row>
    <row r="225" spans="1:2" x14ac:dyDescent="0.2">
      <c r="A225" t="s">
        <v>19</v>
      </c>
      <c r="B225" t="s">
        <v>828</v>
      </c>
    </row>
    <row r="226" spans="1:2" x14ac:dyDescent="0.2">
      <c r="A226" t="s">
        <v>19</v>
      </c>
      <c r="B226" t="s">
        <v>829</v>
      </c>
    </row>
    <row r="227" spans="1:2" x14ac:dyDescent="0.2">
      <c r="A227" t="s">
        <v>19</v>
      </c>
      <c r="B227" t="s">
        <v>830</v>
      </c>
    </row>
    <row r="228" spans="1:2" x14ac:dyDescent="0.2">
      <c r="A228" t="s">
        <v>19</v>
      </c>
      <c r="B228" t="s">
        <v>831</v>
      </c>
    </row>
    <row r="229" spans="1:2" x14ac:dyDescent="0.2">
      <c r="A229" t="s">
        <v>19</v>
      </c>
      <c r="B229" t="s">
        <v>832</v>
      </c>
    </row>
    <row r="230" spans="1:2" x14ac:dyDescent="0.2">
      <c r="A230" t="s">
        <v>19</v>
      </c>
      <c r="B230" t="s">
        <v>729</v>
      </c>
    </row>
    <row r="231" spans="1:2" x14ac:dyDescent="0.2">
      <c r="A231" t="s">
        <v>19</v>
      </c>
      <c r="B231" t="s">
        <v>37</v>
      </c>
    </row>
    <row r="232" spans="1:2" x14ac:dyDescent="0.2">
      <c r="A232" t="s">
        <v>19</v>
      </c>
      <c r="B232" t="s">
        <v>267</v>
      </c>
    </row>
    <row r="233" spans="1:2" x14ac:dyDescent="0.2">
      <c r="A233" t="s">
        <v>19</v>
      </c>
      <c r="B233" t="s">
        <v>833</v>
      </c>
    </row>
    <row r="234" spans="1:2" x14ac:dyDescent="0.2">
      <c r="A234" t="s">
        <v>19</v>
      </c>
      <c r="B234" t="s">
        <v>834</v>
      </c>
    </row>
    <row r="235" spans="1:2" x14ac:dyDescent="0.2">
      <c r="A235" t="s">
        <v>19</v>
      </c>
      <c r="B235" t="s">
        <v>835</v>
      </c>
    </row>
    <row r="236" spans="1:2" x14ac:dyDescent="0.2">
      <c r="A236" t="s">
        <v>19</v>
      </c>
      <c r="B236" t="s">
        <v>836</v>
      </c>
    </row>
    <row r="237" spans="1:2" x14ac:dyDescent="0.2">
      <c r="A237" t="s">
        <v>19</v>
      </c>
      <c r="B237" t="s">
        <v>269</v>
      </c>
    </row>
    <row r="238" spans="1:2" x14ac:dyDescent="0.2">
      <c r="A238" t="s">
        <v>19</v>
      </c>
      <c r="B238" t="s">
        <v>837</v>
      </c>
    </row>
    <row r="239" spans="1:2" x14ac:dyDescent="0.2">
      <c r="A239" t="s">
        <v>19</v>
      </c>
      <c r="B239" t="s">
        <v>286</v>
      </c>
    </row>
    <row r="240" spans="1:2" x14ac:dyDescent="0.2">
      <c r="A240" t="s">
        <v>19</v>
      </c>
      <c r="B240" t="s">
        <v>283</v>
      </c>
    </row>
    <row r="241" spans="1:2" x14ac:dyDescent="0.2">
      <c r="A241" t="s">
        <v>19</v>
      </c>
      <c r="B241" t="s">
        <v>838</v>
      </c>
    </row>
    <row r="242" spans="1:2" x14ac:dyDescent="0.2">
      <c r="A242" t="s">
        <v>19</v>
      </c>
      <c r="B242" t="s">
        <v>839</v>
      </c>
    </row>
    <row r="243" spans="1:2" x14ac:dyDescent="0.2">
      <c r="A243" t="s">
        <v>19</v>
      </c>
      <c r="B243" t="s">
        <v>840</v>
      </c>
    </row>
    <row r="244" spans="1:2" x14ac:dyDescent="0.2">
      <c r="A244" t="s">
        <v>19</v>
      </c>
      <c r="B244" t="s">
        <v>111</v>
      </c>
    </row>
    <row r="245" spans="1:2" x14ac:dyDescent="0.2">
      <c r="A245" t="s">
        <v>19</v>
      </c>
      <c r="B245" t="s">
        <v>841</v>
      </c>
    </row>
    <row r="246" spans="1:2" x14ac:dyDescent="0.2">
      <c r="A246" t="s">
        <v>19</v>
      </c>
      <c r="B246" t="s">
        <v>842</v>
      </c>
    </row>
    <row r="247" spans="1:2" x14ac:dyDescent="0.2">
      <c r="A247" t="s">
        <v>19</v>
      </c>
      <c r="B247" t="s">
        <v>843</v>
      </c>
    </row>
    <row r="248" spans="1:2" x14ac:dyDescent="0.2">
      <c r="A248" t="s">
        <v>19</v>
      </c>
      <c r="B248" t="s">
        <v>844</v>
      </c>
    </row>
    <row r="249" spans="1:2" x14ac:dyDescent="0.2">
      <c r="A249" t="s">
        <v>19</v>
      </c>
      <c r="B249" t="s">
        <v>845</v>
      </c>
    </row>
    <row r="250" spans="1:2" x14ac:dyDescent="0.2">
      <c r="A250" t="s">
        <v>19</v>
      </c>
      <c r="B250" t="s">
        <v>846</v>
      </c>
    </row>
    <row r="251" spans="1:2" x14ac:dyDescent="0.2">
      <c r="A251" t="s">
        <v>19</v>
      </c>
      <c r="B251" t="s">
        <v>847</v>
      </c>
    </row>
    <row r="252" spans="1:2" x14ac:dyDescent="0.2">
      <c r="A252" t="s">
        <v>19</v>
      </c>
      <c r="B252" t="s">
        <v>848</v>
      </c>
    </row>
    <row r="253" spans="1:2" x14ac:dyDescent="0.2">
      <c r="A253" t="s">
        <v>19</v>
      </c>
      <c r="B253" t="s">
        <v>849</v>
      </c>
    </row>
    <row r="254" spans="1:2" x14ac:dyDescent="0.2">
      <c r="A254" t="s">
        <v>19</v>
      </c>
      <c r="B254" t="s">
        <v>850</v>
      </c>
    </row>
    <row r="255" spans="1:2" x14ac:dyDescent="0.2">
      <c r="A255" t="s">
        <v>19</v>
      </c>
      <c r="B255" t="s">
        <v>851</v>
      </c>
    </row>
    <row r="256" spans="1:2" x14ac:dyDescent="0.2">
      <c r="A256" t="s">
        <v>19</v>
      </c>
      <c r="B256" t="s">
        <v>852</v>
      </c>
    </row>
    <row r="257" spans="1:2" x14ac:dyDescent="0.2">
      <c r="A257" t="s">
        <v>19</v>
      </c>
      <c r="B257" t="s">
        <v>853</v>
      </c>
    </row>
    <row r="258" spans="1:2" x14ac:dyDescent="0.2">
      <c r="A258" t="s">
        <v>19</v>
      </c>
      <c r="B258" t="s">
        <v>854</v>
      </c>
    </row>
    <row r="259" spans="1:2" x14ac:dyDescent="0.2">
      <c r="A259" t="s">
        <v>19</v>
      </c>
      <c r="B259" t="s">
        <v>855</v>
      </c>
    </row>
    <row r="260" spans="1:2" x14ac:dyDescent="0.2">
      <c r="A260" t="s">
        <v>19</v>
      </c>
      <c r="B260" t="s">
        <v>856</v>
      </c>
    </row>
    <row r="261" spans="1:2" x14ac:dyDescent="0.2">
      <c r="A261" t="s">
        <v>19</v>
      </c>
      <c r="B261" t="s">
        <v>857</v>
      </c>
    </row>
    <row r="262" spans="1:2" x14ac:dyDescent="0.2">
      <c r="A262" t="s">
        <v>19</v>
      </c>
      <c r="B262" t="s">
        <v>858</v>
      </c>
    </row>
    <row r="263" spans="1:2" x14ac:dyDescent="0.2">
      <c r="A263" t="s">
        <v>19</v>
      </c>
      <c r="B263" t="s">
        <v>859</v>
      </c>
    </row>
    <row r="264" spans="1:2" x14ac:dyDescent="0.2">
      <c r="A264" t="s">
        <v>19</v>
      </c>
      <c r="B264" t="s">
        <v>33</v>
      </c>
    </row>
    <row r="265" spans="1:2" x14ac:dyDescent="0.2">
      <c r="A265" t="s">
        <v>19</v>
      </c>
      <c r="B265" t="s">
        <v>860</v>
      </c>
    </row>
    <row r="266" spans="1:2" x14ac:dyDescent="0.2">
      <c r="A266" t="s">
        <v>19</v>
      </c>
      <c r="B266" t="s">
        <v>861</v>
      </c>
    </row>
    <row r="267" spans="1:2" x14ac:dyDescent="0.2">
      <c r="A267" t="s">
        <v>19</v>
      </c>
      <c r="B267" t="s">
        <v>132</v>
      </c>
    </row>
    <row r="268" spans="1:2" x14ac:dyDescent="0.2">
      <c r="A268" t="s">
        <v>19</v>
      </c>
      <c r="B268" t="s">
        <v>862</v>
      </c>
    </row>
    <row r="269" spans="1:2" x14ac:dyDescent="0.2">
      <c r="A269" t="s">
        <v>19</v>
      </c>
      <c r="B269" t="s">
        <v>863</v>
      </c>
    </row>
    <row r="270" spans="1:2" x14ac:dyDescent="0.2">
      <c r="A270" t="s">
        <v>19</v>
      </c>
      <c r="B270" t="s">
        <v>864</v>
      </c>
    </row>
    <row r="271" spans="1:2" x14ac:dyDescent="0.2">
      <c r="A271" t="s">
        <v>19</v>
      </c>
      <c r="B271" t="s">
        <v>115</v>
      </c>
    </row>
    <row r="272" spans="1:2" x14ac:dyDescent="0.2">
      <c r="A272" t="s">
        <v>19</v>
      </c>
      <c r="B272" t="s">
        <v>865</v>
      </c>
    </row>
    <row r="273" spans="1:2" x14ac:dyDescent="0.2">
      <c r="A273" t="s">
        <v>19</v>
      </c>
      <c r="B273" t="s">
        <v>866</v>
      </c>
    </row>
    <row r="274" spans="1:2" x14ac:dyDescent="0.2">
      <c r="A274" t="s">
        <v>19</v>
      </c>
      <c r="B274" t="s">
        <v>68</v>
      </c>
    </row>
    <row r="275" spans="1:2" x14ac:dyDescent="0.2">
      <c r="A275" t="s">
        <v>19</v>
      </c>
      <c r="B275" t="s">
        <v>867</v>
      </c>
    </row>
    <row r="276" spans="1:2" x14ac:dyDescent="0.2">
      <c r="A276" t="s">
        <v>19</v>
      </c>
      <c r="B276" t="s">
        <v>868</v>
      </c>
    </row>
    <row r="277" spans="1:2" x14ac:dyDescent="0.2">
      <c r="A277" t="s">
        <v>19</v>
      </c>
      <c r="B277" t="s">
        <v>730</v>
      </c>
    </row>
    <row r="278" spans="1:2" x14ac:dyDescent="0.2">
      <c r="A278" t="s">
        <v>19</v>
      </c>
      <c r="B278" t="s">
        <v>869</v>
      </c>
    </row>
    <row r="279" spans="1:2" x14ac:dyDescent="0.2">
      <c r="A279" t="s">
        <v>19</v>
      </c>
      <c r="B279" t="s">
        <v>870</v>
      </c>
    </row>
    <row r="280" spans="1:2" x14ac:dyDescent="0.2">
      <c r="A280" t="s">
        <v>19</v>
      </c>
      <c r="B280" t="s">
        <v>231</v>
      </c>
    </row>
    <row r="281" spans="1:2" x14ac:dyDescent="0.2">
      <c r="A281" t="s">
        <v>19</v>
      </c>
      <c r="B281" t="s">
        <v>311</v>
      </c>
    </row>
    <row r="282" spans="1:2" x14ac:dyDescent="0.2">
      <c r="A282" t="s">
        <v>19</v>
      </c>
      <c r="B282" t="s">
        <v>871</v>
      </c>
    </row>
    <row r="283" spans="1:2" x14ac:dyDescent="0.2">
      <c r="A283" t="s">
        <v>19</v>
      </c>
      <c r="B283" t="s">
        <v>63</v>
      </c>
    </row>
    <row r="284" spans="1:2" x14ac:dyDescent="0.2">
      <c r="A284" t="s">
        <v>19</v>
      </c>
      <c r="B284" t="s">
        <v>69</v>
      </c>
    </row>
    <row r="285" spans="1:2" x14ac:dyDescent="0.2">
      <c r="A285" t="s">
        <v>19</v>
      </c>
      <c r="B285" t="s">
        <v>872</v>
      </c>
    </row>
    <row r="286" spans="1:2" x14ac:dyDescent="0.2">
      <c r="A286" t="s">
        <v>19</v>
      </c>
      <c r="B286" t="s">
        <v>873</v>
      </c>
    </row>
    <row r="287" spans="1:2" x14ac:dyDescent="0.2">
      <c r="A287" t="s">
        <v>19</v>
      </c>
      <c r="B287" t="s">
        <v>874</v>
      </c>
    </row>
    <row r="288" spans="1:2" x14ac:dyDescent="0.2">
      <c r="A288" t="s">
        <v>19</v>
      </c>
      <c r="B288" t="s">
        <v>875</v>
      </c>
    </row>
    <row r="289" spans="1:2" x14ac:dyDescent="0.2">
      <c r="A289" t="s">
        <v>19</v>
      </c>
      <c r="B289" t="s">
        <v>876</v>
      </c>
    </row>
    <row r="290" spans="1:2" x14ac:dyDescent="0.2">
      <c r="A290" t="s">
        <v>19</v>
      </c>
      <c r="B290" t="s">
        <v>877</v>
      </c>
    </row>
    <row r="291" spans="1:2" x14ac:dyDescent="0.2">
      <c r="A291" t="s">
        <v>19</v>
      </c>
      <c r="B291" t="s">
        <v>226</v>
      </c>
    </row>
    <row r="292" spans="1:2" x14ac:dyDescent="0.2">
      <c r="A292" t="s">
        <v>19</v>
      </c>
      <c r="B292" t="s">
        <v>878</v>
      </c>
    </row>
    <row r="293" spans="1:2" x14ac:dyDescent="0.2">
      <c r="A293" t="s">
        <v>19</v>
      </c>
      <c r="B293" t="s">
        <v>879</v>
      </c>
    </row>
    <row r="294" spans="1:2" x14ac:dyDescent="0.2">
      <c r="A294" t="s">
        <v>19</v>
      </c>
      <c r="B294" t="s">
        <v>880</v>
      </c>
    </row>
    <row r="295" spans="1:2" x14ac:dyDescent="0.2">
      <c r="A295" t="s">
        <v>19</v>
      </c>
      <c r="B295" t="s">
        <v>881</v>
      </c>
    </row>
    <row r="296" spans="1:2" x14ac:dyDescent="0.2">
      <c r="A296" t="s">
        <v>19</v>
      </c>
      <c r="B296" t="s">
        <v>882</v>
      </c>
    </row>
    <row r="297" spans="1:2" x14ac:dyDescent="0.2">
      <c r="A297" t="s">
        <v>19</v>
      </c>
      <c r="B297" t="s">
        <v>883</v>
      </c>
    </row>
    <row r="298" spans="1:2" x14ac:dyDescent="0.2">
      <c r="A298" t="s">
        <v>19</v>
      </c>
      <c r="B298" t="s">
        <v>296</v>
      </c>
    </row>
    <row r="299" spans="1:2" x14ac:dyDescent="0.2">
      <c r="A299" t="s">
        <v>19</v>
      </c>
      <c r="B299" t="s">
        <v>884</v>
      </c>
    </row>
    <row r="300" spans="1:2" x14ac:dyDescent="0.2">
      <c r="A300" t="s">
        <v>19</v>
      </c>
      <c r="B300" t="s">
        <v>885</v>
      </c>
    </row>
    <row r="301" spans="1:2" x14ac:dyDescent="0.2">
      <c r="A301" t="s">
        <v>19</v>
      </c>
      <c r="B301" t="s">
        <v>246</v>
      </c>
    </row>
    <row r="302" spans="1:2" x14ac:dyDescent="0.2">
      <c r="A302" t="s">
        <v>19</v>
      </c>
      <c r="B302" t="s">
        <v>886</v>
      </c>
    </row>
    <row r="303" spans="1:2" x14ac:dyDescent="0.2">
      <c r="A303" t="s">
        <v>19</v>
      </c>
      <c r="B303" t="s">
        <v>887</v>
      </c>
    </row>
    <row r="304" spans="1:2" x14ac:dyDescent="0.2">
      <c r="A304" t="s">
        <v>19</v>
      </c>
      <c r="B304" t="s">
        <v>212</v>
      </c>
    </row>
    <row r="305" spans="1:2" x14ac:dyDescent="0.2">
      <c r="A305" t="s">
        <v>19</v>
      </c>
      <c r="B305" t="s">
        <v>888</v>
      </c>
    </row>
    <row r="306" spans="1:2" x14ac:dyDescent="0.2">
      <c r="A306" t="s">
        <v>19</v>
      </c>
      <c r="B306" t="s">
        <v>889</v>
      </c>
    </row>
    <row r="307" spans="1:2" x14ac:dyDescent="0.2">
      <c r="A307" t="s">
        <v>19</v>
      </c>
      <c r="B307" t="s">
        <v>890</v>
      </c>
    </row>
    <row r="308" spans="1:2" x14ac:dyDescent="0.2">
      <c r="A308" t="s">
        <v>19</v>
      </c>
      <c r="B308" t="s">
        <v>891</v>
      </c>
    </row>
    <row r="309" spans="1:2" x14ac:dyDescent="0.2">
      <c r="A309" t="s">
        <v>19</v>
      </c>
      <c r="B309" t="s">
        <v>892</v>
      </c>
    </row>
    <row r="310" spans="1:2" x14ac:dyDescent="0.2">
      <c r="A310" t="s">
        <v>19</v>
      </c>
      <c r="B310" t="s">
        <v>893</v>
      </c>
    </row>
    <row r="311" spans="1:2" x14ac:dyDescent="0.2">
      <c r="A311" t="s">
        <v>19</v>
      </c>
      <c r="B311" t="s">
        <v>894</v>
      </c>
    </row>
    <row r="312" spans="1:2" x14ac:dyDescent="0.2">
      <c r="A312" t="s">
        <v>19</v>
      </c>
      <c r="B312" t="s">
        <v>895</v>
      </c>
    </row>
    <row r="313" spans="1:2" x14ac:dyDescent="0.2">
      <c r="A313" t="s">
        <v>19</v>
      </c>
      <c r="B313" t="s">
        <v>896</v>
      </c>
    </row>
    <row r="314" spans="1:2" x14ac:dyDescent="0.2">
      <c r="A314" t="s">
        <v>19</v>
      </c>
      <c r="B314" t="s">
        <v>897</v>
      </c>
    </row>
    <row r="315" spans="1:2" x14ac:dyDescent="0.2">
      <c r="A315" t="s">
        <v>19</v>
      </c>
      <c r="B315" t="s">
        <v>898</v>
      </c>
    </row>
    <row r="316" spans="1:2" x14ac:dyDescent="0.2">
      <c r="A316" t="s">
        <v>19</v>
      </c>
      <c r="B316" t="s">
        <v>136</v>
      </c>
    </row>
    <row r="317" spans="1:2" x14ac:dyDescent="0.2">
      <c r="A317" t="s">
        <v>19</v>
      </c>
      <c r="B317" t="s">
        <v>899</v>
      </c>
    </row>
    <row r="318" spans="1:2" x14ac:dyDescent="0.2">
      <c r="A318" t="s">
        <v>19</v>
      </c>
      <c r="B318" t="s">
        <v>900</v>
      </c>
    </row>
    <row r="319" spans="1:2" x14ac:dyDescent="0.2">
      <c r="A319" t="s">
        <v>19</v>
      </c>
      <c r="B319" t="s">
        <v>273</v>
      </c>
    </row>
    <row r="320" spans="1:2" x14ac:dyDescent="0.2">
      <c r="A320" t="s">
        <v>19</v>
      </c>
      <c r="B320" t="s">
        <v>901</v>
      </c>
    </row>
    <row r="321" spans="1:2" x14ac:dyDescent="0.2">
      <c r="A321" t="s">
        <v>19</v>
      </c>
      <c r="B321" t="s">
        <v>902</v>
      </c>
    </row>
    <row r="322" spans="1:2" x14ac:dyDescent="0.2">
      <c r="A322" t="s">
        <v>19</v>
      </c>
      <c r="B322" t="s">
        <v>239</v>
      </c>
    </row>
    <row r="323" spans="1:2" x14ac:dyDescent="0.2">
      <c r="A323" t="s">
        <v>19</v>
      </c>
      <c r="B323" t="s">
        <v>903</v>
      </c>
    </row>
    <row r="324" spans="1:2" x14ac:dyDescent="0.2">
      <c r="A324" t="s">
        <v>19</v>
      </c>
      <c r="B324" t="s">
        <v>904</v>
      </c>
    </row>
    <row r="325" spans="1:2" x14ac:dyDescent="0.2">
      <c r="A325" t="s">
        <v>19</v>
      </c>
      <c r="B325" t="s">
        <v>905</v>
      </c>
    </row>
    <row r="326" spans="1:2" x14ac:dyDescent="0.2">
      <c r="A326" t="s">
        <v>19</v>
      </c>
      <c r="B326" t="s">
        <v>906</v>
      </c>
    </row>
    <row r="327" spans="1:2" x14ac:dyDescent="0.2">
      <c r="A327" t="s">
        <v>224</v>
      </c>
      <c r="B327" t="s">
        <v>726</v>
      </c>
    </row>
    <row r="328" spans="1:2" x14ac:dyDescent="0.2">
      <c r="A328" t="s">
        <v>224</v>
      </c>
      <c r="B328" t="s">
        <v>236</v>
      </c>
    </row>
    <row r="329" spans="1:2" x14ac:dyDescent="0.2">
      <c r="A329" t="s">
        <v>224</v>
      </c>
      <c r="B329" t="s">
        <v>275</v>
      </c>
    </row>
    <row r="330" spans="1:2" x14ac:dyDescent="0.2">
      <c r="A330" t="s">
        <v>224</v>
      </c>
      <c r="B330" t="s">
        <v>907</v>
      </c>
    </row>
    <row r="331" spans="1:2" x14ac:dyDescent="0.2">
      <c r="A331" t="s">
        <v>224</v>
      </c>
      <c r="B331" t="s">
        <v>908</v>
      </c>
    </row>
    <row r="332" spans="1:2" x14ac:dyDescent="0.2">
      <c r="A332" t="s">
        <v>224</v>
      </c>
      <c r="B332" t="s">
        <v>909</v>
      </c>
    </row>
    <row r="333" spans="1:2" x14ac:dyDescent="0.2">
      <c r="A333" t="s">
        <v>224</v>
      </c>
      <c r="B333" t="s">
        <v>225</v>
      </c>
    </row>
    <row r="334" spans="1:2" x14ac:dyDescent="0.2">
      <c r="A334" t="s">
        <v>224</v>
      </c>
      <c r="B334" t="s">
        <v>895</v>
      </c>
    </row>
    <row r="335" spans="1:2" x14ac:dyDescent="0.2">
      <c r="A335" t="s">
        <v>224</v>
      </c>
      <c r="B335" t="s">
        <v>241</v>
      </c>
    </row>
    <row r="336" spans="1:2" x14ac:dyDescent="0.2">
      <c r="A336" t="s">
        <v>347</v>
      </c>
      <c r="B336" t="s">
        <v>351</v>
      </c>
    </row>
    <row r="337" spans="1:2" x14ac:dyDescent="0.2">
      <c r="A337" t="s">
        <v>347</v>
      </c>
      <c r="B337" t="s">
        <v>726</v>
      </c>
    </row>
    <row r="338" spans="1:2" x14ac:dyDescent="0.2">
      <c r="A338" t="s">
        <v>347</v>
      </c>
      <c r="B338" t="s">
        <v>910</v>
      </c>
    </row>
    <row r="339" spans="1:2" x14ac:dyDescent="0.2">
      <c r="A339" t="s">
        <v>347</v>
      </c>
      <c r="B339" t="s">
        <v>911</v>
      </c>
    </row>
    <row r="340" spans="1:2" x14ac:dyDescent="0.2">
      <c r="A340" t="s">
        <v>347</v>
      </c>
      <c r="B340" t="s">
        <v>912</v>
      </c>
    </row>
    <row r="341" spans="1:2" x14ac:dyDescent="0.2">
      <c r="A341" t="s">
        <v>347</v>
      </c>
      <c r="B341" t="s">
        <v>729</v>
      </c>
    </row>
    <row r="342" spans="1:2" x14ac:dyDescent="0.2">
      <c r="A342" t="s">
        <v>347</v>
      </c>
      <c r="B342" t="s">
        <v>913</v>
      </c>
    </row>
    <row r="343" spans="1:2" x14ac:dyDescent="0.2">
      <c r="A343" t="s">
        <v>347</v>
      </c>
      <c r="B343" t="s">
        <v>353</v>
      </c>
    </row>
    <row r="344" spans="1:2" x14ac:dyDescent="0.2">
      <c r="A344" t="s">
        <v>347</v>
      </c>
      <c r="B344" t="s">
        <v>914</v>
      </c>
    </row>
    <row r="345" spans="1:2" x14ac:dyDescent="0.2">
      <c r="A345" t="s">
        <v>347</v>
      </c>
      <c r="B345" t="s">
        <v>915</v>
      </c>
    </row>
    <row r="346" spans="1:2" x14ac:dyDescent="0.2">
      <c r="A346" t="s">
        <v>347</v>
      </c>
      <c r="B346" t="s">
        <v>916</v>
      </c>
    </row>
    <row r="347" spans="1:2" x14ac:dyDescent="0.2">
      <c r="A347" t="s">
        <v>347</v>
      </c>
      <c r="B347" t="s">
        <v>917</v>
      </c>
    </row>
    <row r="348" spans="1:2" x14ac:dyDescent="0.2">
      <c r="A348" t="s">
        <v>347</v>
      </c>
      <c r="B348" t="s">
        <v>348</v>
      </c>
    </row>
    <row r="349" spans="1:2" x14ac:dyDescent="0.2">
      <c r="A349" t="s">
        <v>347</v>
      </c>
      <c r="B349" t="s">
        <v>918</v>
      </c>
    </row>
    <row r="350" spans="1:2" x14ac:dyDescent="0.2">
      <c r="A350" t="s">
        <v>347</v>
      </c>
      <c r="B350" t="s">
        <v>919</v>
      </c>
    </row>
    <row r="351" spans="1:2" x14ac:dyDescent="0.2">
      <c r="A351" t="s">
        <v>347</v>
      </c>
      <c r="B351" t="s">
        <v>920</v>
      </c>
    </row>
    <row r="352" spans="1:2" x14ac:dyDescent="0.2">
      <c r="A352" t="s">
        <v>347</v>
      </c>
      <c r="B352" t="s">
        <v>890</v>
      </c>
    </row>
    <row r="353" spans="1:2" x14ac:dyDescent="0.2">
      <c r="A353" t="s">
        <v>347</v>
      </c>
      <c r="B353" t="s">
        <v>921</v>
      </c>
    </row>
    <row r="354" spans="1:2" x14ac:dyDescent="0.2">
      <c r="A354" t="s">
        <v>347</v>
      </c>
      <c r="B354" t="s">
        <v>922</v>
      </c>
    </row>
    <row r="355" spans="1:2" x14ac:dyDescent="0.2">
      <c r="A355" t="s">
        <v>347</v>
      </c>
      <c r="B355" t="s">
        <v>895</v>
      </c>
    </row>
    <row r="356" spans="1:2" x14ac:dyDescent="0.2">
      <c r="A356" t="s">
        <v>282</v>
      </c>
      <c r="B356" t="s">
        <v>298</v>
      </c>
    </row>
    <row r="357" spans="1:2" x14ac:dyDescent="0.2">
      <c r="A357" t="s">
        <v>282</v>
      </c>
      <c r="B357" t="s">
        <v>726</v>
      </c>
    </row>
    <row r="358" spans="1:2" x14ac:dyDescent="0.2">
      <c r="A358" t="s">
        <v>282</v>
      </c>
      <c r="B358" t="s">
        <v>302</v>
      </c>
    </row>
    <row r="359" spans="1:2" x14ac:dyDescent="0.2">
      <c r="A359" t="s">
        <v>282</v>
      </c>
      <c r="B359" t="s">
        <v>923</v>
      </c>
    </row>
    <row r="360" spans="1:2" x14ac:dyDescent="0.2">
      <c r="A360" t="s">
        <v>282</v>
      </c>
      <c r="B360" t="s">
        <v>300</v>
      </c>
    </row>
    <row r="361" spans="1:2" x14ac:dyDescent="0.2">
      <c r="A361" t="s">
        <v>282</v>
      </c>
      <c r="B361" t="s">
        <v>924</v>
      </c>
    </row>
    <row r="362" spans="1:2" x14ac:dyDescent="0.2">
      <c r="A362" t="s">
        <v>282</v>
      </c>
      <c r="B362" t="s">
        <v>291</v>
      </c>
    </row>
    <row r="363" spans="1:2" x14ac:dyDescent="0.2">
      <c r="A363" t="s">
        <v>282</v>
      </c>
      <c r="B363" t="s">
        <v>293</v>
      </c>
    </row>
    <row r="364" spans="1:2" x14ac:dyDescent="0.2">
      <c r="A364" t="s">
        <v>282</v>
      </c>
      <c r="B364" t="s">
        <v>286</v>
      </c>
    </row>
    <row r="365" spans="1:2" x14ac:dyDescent="0.2">
      <c r="A365" t="s">
        <v>282</v>
      </c>
      <c r="B365" t="s">
        <v>283</v>
      </c>
    </row>
    <row r="366" spans="1:2" x14ac:dyDescent="0.2">
      <c r="A366" t="s">
        <v>282</v>
      </c>
      <c r="B366" t="s">
        <v>857</v>
      </c>
    </row>
    <row r="367" spans="1:2" x14ac:dyDescent="0.2">
      <c r="A367" t="s">
        <v>282</v>
      </c>
      <c r="B367" t="s">
        <v>925</v>
      </c>
    </row>
    <row r="368" spans="1:2" x14ac:dyDescent="0.2">
      <c r="A368" t="s">
        <v>282</v>
      </c>
      <c r="B368" t="s">
        <v>926</v>
      </c>
    </row>
    <row r="369" spans="1:2" x14ac:dyDescent="0.2">
      <c r="A369" t="s">
        <v>282</v>
      </c>
      <c r="B369" t="s">
        <v>927</v>
      </c>
    </row>
    <row r="370" spans="1:2" x14ac:dyDescent="0.2">
      <c r="A370" t="s">
        <v>282</v>
      </c>
      <c r="B370" t="s">
        <v>306</v>
      </c>
    </row>
    <row r="371" spans="1:2" x14ac:dyDescent="0.2">
      <c r="A371" t="s">
        <v>282</v>
      </c>
      <c r="B371" t="s">
        <v>308</v>
      </c>
    </row>
    <row r="372" spans="1:2" x14ac:dyDescent="0.2">
      <c r="A372" t="s">
        <v>282</v>
      </c>
      <c r="B372" t="s">
        <v>928</v>
      </c>
    </row>
    <row r="373" spans="1:2" x14ac:dyDescent="0.2">
      <c r="A373" t="s">
        <v>282</v>
      </c>
      <c r="B373" t="s">
        <v>295</v>
      </c>
    </row>
    <row r="374" spans="1:2" x14ac:dyDescent="0.2">
      <c r="A374" t="s">
        <v>282</v>
      </c>
      <c r="B374" t="s">
        <v>929</v>
      </c>
    </row>
    <row r="375" spans="1:2" x14ac:dyDescent="0.2">
      <c r="A375" t="s">
        <v>282</v>
      </c>
      <c r="B375" t="s">
        <v>895</v>
      </c>
    </row>
    <row r="376" spans="1:2" x14ac:dyDescent="0.2">
      <c r="A376" t="s">
        <v>282</v>
      </c>
      <c r="B376" t="s">
        <v>930</v>
      </c>
    </row>
    <row r="377" spans="1:2" x14ac:dyDescent="0.2">
      <c r="A377" t="s">
        <v>282</v>
      </c>
      <c r="B377" t="s">
        <v>931</v>
      </c>
    </row>
    <row r="378" spans="1:2" x14ac:dyDescent="0.2">
      <c r="A378" t="s">
        <v>44</v>
      </c>
      <c r="B378" t="s">
        <v>796</v>
      </c>
    </row>
    <row r="379" spans="1:2" x14ac:dyDescent="0.2">
      <c r="A379" t="s">
        <v>44</v>
      </c>
      <c r="B379" t="s">
        <v>797</v>
      </c>
    </row>
    <row r="380" spans="1:2" x14ac:dyDescent="0.2">
      <c r="A380" t="s">
        <v>44</v>
      </c>
      <c r="B380" t="s">
        <v>805</v>
      </c>
    </row>
    <row r="381" spans="1:2" x14ac:dyDescent="0.2">
      <c r="A381" t="s">
        <v>44</v>
      </c>
      <c r="B381" t="s">
        <v>298</v>
      </c>
    </row>
    <row r="382" spans="1:2" x14ac:dyDescent="0.2">
      <c r="A382" t="s">
        <v>44</v>
      </c>
      <c r="B382" t="s">
        <v>726</v>
      </c>
    </row>
    <row r="383" spans="1:2" x14ac:dyDescent="0.2">
      <c r="A383" t="s">
        <v>44</v>
      </c>
      <c r="B383" t="s">
        <v>45</v>
      </c>
    </row>
    <row r="384" spans="1:2" x14ac:dyDescent="0.2">
      <c r="A384" t="s">
        <v>44</v>
      </c>
      <c r="B384" t="s">
        <v>42</v>
      </c>
    </row>
    <row r="385" spans="1:2" x14ac:dyDescent="0.2">
      <c r="A385" t="s">
        <v>44</v>
      </c>
      <c r="B385" t="s">
        <v>302</v>
      </c>
    </row>
    <row r="386" spans="1:2" x14ac:dyDescent="0.2">
      <c r="A386" t="s">
        <v>44</v>
      </c>
      <c r="B386" t="s">
        <v>300</v>
      </c>
    </row>
    <row r="387" spans="1:2" x14ac:dyDescent="0.2">
      <c r="A387" t="s">
        <v>44</v>
      </c>
      <c r="B387" t="s">
        <v>729</v>
      </c>
    </row>
    <row r="388" spans="1:2" x14ac:dyDescent="0.2">
      <c r="A388" t="s">
        <v>44</v>
      </c>
      <c r="B388" t="s">
        <v>837</v>
      </c>
    </row>
    <row r="389" spans="1:2" x14ac:dyDescent="0.2">
      <c r="A389" t="s">
        <v>44</v>
      </c>
      <c r="B389" t="s">
        <v>286</v>
      </c>
    </row>
    <row r="390" spans="1:2" x14ac:dyDescent="0.2">
      <c r="A390" t="s">
        <v>44</v>
      </c>
      <c r="B390" t="s">
        <v>283</v>
      </c>
    </row>
    <row r="391" spans="1:2" x14ac:dyDescent="0.2">
      <c r="A391" t="s">
        <v>44</v>
      </c>
      <c r="B391" t="s">
        <v>851</v>
      </c>
    </row>
    <row r="392" spans="1:2" x14ac:dyDescent="0.2">
      <c r="A392" t="s">
        <v>44</v>
      </c>
      <c r="B392" t="s">
        <v>855</v>
      </c>
    </row>
    <row r="393" spans="1:2" x14ac:dyDescent="0.2">
      <c r="A393" t="s">
        <v>44</v>
      </c>
      <c r="B393" t="s">
        <v>857</v>
      </c>
    </row>
    <row r="394" spans="1:2" x14ac:dyDescent="0.2">
      <c r="A394" t="s">
        <v>44</v>
      </c>
      <c r="B394" t="s">
        <v>115</v>
      </c>
    </row>
    <row r="395" spans="1:2" x14ac:dyDescent="0.2">
      <c r="A395" t="s">
        <v>44</v>
      </c>
      <c r="B395" t="s">
        <v>865</v>
      </c>
    </row>
    <row r="396" spans="1:2" x14ac:dyDescent="0.2">
      <c r="A396" t="s">
        <v>44</v>
      </c>
      <c r="B396" t="s">
        <v>866</v>
      </c>
    </row>
    <row r="397" spans="1:2" x14ac:dyDescent="0.2">
      <c r="A397" t="s">
        <v>44</v>
      </c>
      <c r="B397" t="s">
        <v>867</v>
      </c>
    </row>
    <row r="398" spans="1:2" x14ac:dyDescent="0.2">
      <c r="A398" t="s">
        <v>44</v>
      </c>
      <c r="B398" t="s">
        <v>730</v>
      </c>
    </row>
    <row r="399" spans="1:2" x14ac:dyDescent="0.2">
      <c r="A399" t="s">
        <v>44</v>
      </c>
      <c r="B399" t="s">
        <v>869</v>
      </c>
    </row>
    <row r="400" spans="1:2" x14ac:dyDescent="0.2">
      <c r="A400" t="s">
        <v>44</v>
      </c>
      <c r="B400" t="s">
        <v>882</v>
      </c>
    </row>
    <row r="401" spans="1:2" x14ac:dyDescent="0.2">
      <c r="A401" t="s">
        <v>44</v>
      </c>
      <c r="B401" t="s">
        <v>883</v>
      </c>
    </row>
    <row r="402" spans="1:2" x14ac:dyDescent="0.2">
      <c r="A402" t="s">
        <v>44</v>
      </c>
      <c r="B402" t="s">
        <v>295</v>
      </c>
    </row>
    <row r="403" spans="1:2" x14ac:dyDescent="0.2">
      <c r="A403" t="s">
        <v>44</v>
      </c>
      <c r="B403" t="s">
        <v>895</v>
      </c>
    </row>
    <row r="404" spans="1:2" x14ac:dyDescent="0.2">
      <c r="A404" t="s">
        <v>44</v>
      </c>
      <c r="B404" t="s">
        <v>903</v>
      </c>
    </row>
    <row r="405" spans="1:2" x14ac:dyDescent="0.2">
      <c r="A405" t="s">
        <v>206</v>
      </c>
      <c r="B405" t="s">
        <v>726</v>
      </c>
    </row>
    <row r="406" spans="1:2" x14ac:dyDescent="0.2">
      <c r="A406" t="s">
        <v>206</v>
      </c>
      <c r="B406" t="s">
        <v>729</v>
      </c>
    </row>
    <row r="407" spans="1:2" x14ac:dyDescent="0.2">
      <c r="A407" t="s">
        <v>206</v>
      </c>
      <c r="B407" t="s">
        <v>210</v>
      </c>
    </row>
    <row r="408" spans="1:2" x14ac:dyDescent="0.2">
      <c r="A408" t="s">
        <v>206</v>
      </c>
      <c r="B408" t="s">
        <v>207</v>
      </c>
    </row>
    <row r="409" spans="1:2" x14ac:dyDescent="0.2">
      <c r="A409" t="s">
        <v>206</v>
      </c>
      <c r="B409" t="s">
        <v>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1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932</v>
      </c>
      <c r="B1" t="s">
        <v>64</v>
      </c>
      <c r="C1" t="s">
        <v>24</v>
      </c>
      <c r="D1" t="s">
        <v>143</v>
      </c>
      <c r="E1" t="s">
        <v>61</v>
      </c>
      <c r="F1" t="s">
        <v>19</v>
      </c>
      <c r="G1" t="s">
        <v>224</v>
      </c>
      <c r="H1" t="s">
        <v>347</v>
      </c>
      <c r="I1" t="s">
        <v>282</v>
      </c>
      <c r="J1" t="s">
        <v>44</v>
      </c>
      <c r="K1" t="s">
        <v>206</v>
      </c>
    </row>
    <row r="2" spans="1:11" x14ac:dyDescent="0.2">
      <c r="A2" t="s">
        <v>64</v>
      </c>
      <c r="B2" t="s">
        <v>721</v>
      </c>
      <c r="C2" t="s">
        <v>179</v>
      </c>
      <c r="D2" t="s">
        <v>721</v>
      </c>
      <c r="E2" t="s">
        <v>721</v>
      </c>
      <c r="F2" t="s">
        <v>794</v>
      </c>
      <c r="G2" t="s">
        <v>726</v>
      </c>
      <c r="H2" t="s">
        <v>351</v>
      </c>
      <c r="I2" t="s">
        <v>298</v>
      </c>
      <c r="J2" t="s">
        <v>796</v>
      </c>
      <c r="K2" t="s">
        <v>726</v>
      </c>
    </row>
    <row r="3" spans="1:11" x14ac:dyDescent="0.2">
      <c r="A3" t="s">
        <v>24</v>
      </c>
      <c r="B3" t="s">
        <v>722</v>
      </c>
      <c r="C3" t="s">
        <v>721</v>
      </c>
      <c r="D3" t="s">
        <v>150</v>
      </c>
      <c r="E3" t="s">
        <v>152</v>
      </c>
      <c r="F3" t="s">
        <v>108</v>
      </c>
      <c r="G3" t="s">
        <v>236</v>
      </c>
      <c r="H3" t="s">
        <v>726</v>
      </c>
      <c r="I3" t="s">
        <v>726</v>
      </c>
      <c r="J3" t="s">
        <v>797</v>
      </c>
      <c r="K3" t="s">
        <v>729</v>
      </c>
    </row>
    <row r="4" spans="1:11" x14ac:dyDescent="0.2">
      <c r="A4" t="s">
        <v>143</v>
      </c>
      <c r="B4" t="s">
        <v>723</v>
      </c>
      <c r="C4" t="s">
        <v>152</v>
      </c>
      <c r="D4" t="s">
        <v>789</v>
      </c>
      <c r="E4" t="s">
        <v>725</v>
      </c>
      <c r="F4" t="s">
        <v>795</v>
      </c>
      <c r="G4" t="s">
        <v>275</v>
      </c>
      <c r="H4" t="s">
        <v>910</v>
      </c>
      <c r="I4" t="s">
        <v>302</v>
      </c>
      <c r="J4" t="s">
        <v>805</v>
      </c>
      <c r="K4" t="s">
        <v>210</v>
      </c>
    </row>
    <row r="5" spans="1:11" x14ac:dyDescent="0.2">
      <c r="A5" t="s">
        <v>61</v>
      </c>
      <c r="B5" t="s">
        <v>328</v>
      </c>
      <c r="C5" t="s">
        <v>118</v>
      </c>
      <c r="D5" t="s">
        <v>144</v>
      </c>
      <c r="E5" t="s">
        <v>726</v>
      </c>
      <c r="F5" t="s">
        <v>796</v>
      </c>
      <c r="G5" t="s">
        <v>907</v>
      </c>
      <c r="H5" t="s">
        <v>911</v>
      </c>
      <c r="I5" t="s">
        <v>923</v>
      </c>
      <c r="J5" t="s">
        <v>298</v>
      </c>
      <c r="K5" t="s">
        <v>207</v>
      </c>
    </row>
    <row r="6" spans="1:11" x14ac:dyDescent="0.2">
      <c r="A6" t="s">
        <v>19</v>
      </c>
      <c r="B6" t="s">
        <v>724</v>
      </c>
      <c r="C6" t="s">
        <v>185</v>
      </c>
      <c r="D6" t="s">
        <v>790</v>
      </c>
      <c r="E6" t="s">
        <v>156</v>
      </c>
      <c r="F6" t="s">
        <v>797</v>
      </c>
      <c r="G6" t="s">
        <v>908</v>
      </c>
      <c r="H6" t="s">
        <v>912</v>
      </c>
      <c r="I6" t="s">
        <v>300</v>
      </c>
      <c r="J6" t="s">
        <v>726</v>
      </c>
      <c r="K6" t="s">
        <v>895</v>
      </c>
    </row>
    <row r="7" spans="1:11" x14ac:dyDescent="0.2">
      <c r="A7" t="s">
        <v>224</v>
      </c>
      <c r="B7" t="s">
        <v>725</v>
      </c>
      <c r="C7" t="s">
        <v>732</v>
      </c>
      <c r="D7" t="s">
        <v>147</v>
      </c>
      <c r="E7" t="s">
        <v>171</v>
      </c>
      <c r="F7" t="s">
        <v>798</v>
      </c>
      <c r="G7" t="s">
        <v>909</v>
      </c>
      <c r="H7" t="s">
        <v>729</v>
      </c>
      <c r="I7" t="s">
        <v>924</v>
      </c>
      <c r="J7" t="s">
        <v>45</v>
      </c>
    </row>
    <row r="8" spans="1:11" x14ac:dyDescent="0.2">
      <c r="A8" t="s">
        <v>347</v>
      </c>
      <c r="B8" t="s">
        <v>726</v>
      </c>
      <c r="C8" t="s">
        <v>733</v>
      </c>
      <c r="D8" t="s">
        <v>725</v>
      </c>
      <c r="E8" t="s">
        <v>329</v>
      </c>
      <c r="F8" t="s">
        <v>799</v>
      </c>
      <c r="G8" t="s">
        <v>225</v>
      </c>
      <c r="H8" t="s">
        <v>913</v>
      </c>
      <c r="I8" t="s">
        <v>291</v>
      </c>
      <c r="J8" t="s">
        <v>42</v>
      </c>
    </row>
    <row r="9" spans="1:11" x14ac:dyDescent="0.2">
      <c r="A9" t="s">
        <v>282</v>
      </c>
      <c r="B9" t="s">
        <v>156</v>
      </c>
      <c r="C9" t="s">
        <v>734</v>
      </c>
      <c r="D9" t="s">
        <v>726</v>
      </c>
      <c r="E9" t="s">
        <v>792</v>
      </c>
      <c r="F9" t="s">
        <v>35</v>
      </c>
      <c r="G9" t="s">
        <v>895</v>
      </c>
      <c r="H9" t="s">
        <v>353</v>
      </c>
      <c r="I9" t="s">
        <v>293</v>
      </c>
      <c r="J9" t="s">
        <v>302</v>
      </c>
    </row>
    <row r="10" spans="1:11" x14ac:dyDescent="0.2">
      <c r="A10" t="s">
        <v>44</v>
      </c>
      <c r="B10" t="s">
        <v>727</v>
      </c>
      <c r="C10" t="s">
        <v>725</v>
      </c>
      <c r="D10" t="s">
        <v>729</v>
      </c>
      <c r="E10" t="s">
        <v>729</v>
      </c>
      <c r="F10" t="s">
        <v>800</v>
      </c>
      <c r="G10" t="s">
        <v>241</v>
      </c>
      <c r="H10" t="s">
        <v>914</v>
      </c>
      <c r="I10" t="s">
        <v>286</v>
      </c>
      <c r="J10" t="s">
        <v>300</v>
      </c>
    </row>
    <row r="11" spans="1:11" x14ac:dyDescent="0.2">
      <c r="A11" t="s">
        <v>206</v>
      </c>
      <c r="B11" t="s">
        <v>728</v>
      </c>
      <c r="C11" t="s">
        <v>237</v>
      </c>
      <c r="D11" t="s">
        <v>791</v>
      </c>
      <c r="E11" t="s">
        <v>167</v>
      </c>
      <c r="F11" t="s">
        <v>137</v>
      </c>
      <c r="H11" t="s">
        <v>915</v>
      </c>
      <c r="I11" t="s">
        <v>283</v>
      </c>
      <c r="J11" t="s">
        <v>729</v>
      </c>
    </row>
    <row r="12" spans="1:11" x14ac:dyDescent="0.2">
      <c r="B12" t="s">
        <v>729</v>
      </c>
      <c r="C12" t="s">
        <v>735</v>
      </c>
      <c r="D12" t="s">
        <v>730</v>
      </c>
      <c r="E12" t="s">
        <v>67</v>
      </c>
      <c r="F12" t="s">
        <v>801</v>
      </c>
      <c r="H12" t="s">
        <v>916</v>
      </c>
      <c r="I12" t="s">
        <v>857</v>
      </c>
      <c r="J12" t="s">
        <v>837</v>
      </c>
    </row>
    <row r="13" spans="1:11" x14ac:dyDescent="0.2">
      <c r="B13" t="s">
        <v>67</v>
      </c>
      <c r="C13" t="s">
        <v>736</v>
      </c>
      <c r="D13" t="s">
        <v>148</v>
      </c>
      <c r="E13" t="s">
        <v>316</v>
      </c>
      <c r="F13" t="s">
        <v>802</v>
      </c>
      <c r="H13" t="s">
        <v>917</v>
      </c>
      <c r="I13" t="s">
        <v>925</v>
      </c>
      <c r="J13" t="s">
        <v>286</v>
      </c>
    </row>
    <row r="14" spans="1:11" x14ac:dyDescent="0.2">
      <c r="B14" t="s">
        <v>316</v>
      </c>
      <c r="C14" t="s">
        <v>737</v>
      </c>
      <c r="E14" t="s">
        <v>331</v>
      </c>
      <c r="F14" t="s">
        <v>803</v>
      </c>
      <c r="H14" t="s">
        <v>348</v>
      </c>
      <c r="I14" t="s">
        <v>926</v>
      </c>
      <c r="J14" t="s">
        <v>283</v>
      </c>
    </row>
    <row r="15" spans="1:11" x14ac:dyDescent="0.2">
      <c r="B15" t="s">
        <v>730</v>
      </c>
      <c r="C15" t="s">
        <v>738</v>
      </c>
      <c r="E15" t="s">
        <v>88</v>
      </c>
      <c r="F15" t="s">
        <v>804</v>
      </c>
      <c r="H15" t="s">
        <v>918</v>
      </c>
      <c r="I15" t="s">
        <v>927</v>
      </c>
      <c r="J15" t="s">
        <v>851</v>
      </c>
    </row>
    <row r="16" spans="1:11" x14ac:dyDescent="0.2">
      <c r="B16" t="s">
        <v>65</v>
      </c>
      <c r="C16" t="s">
        <v>739</v>
      </c>
      <c r="E16" t="s">
        <v>766</v>
      </c>
      <c r="F16" t="s">
        <v>219</v>
      </c>
      <c r="H16" t="s">
        <v>919</v>
      </c>
      <c r="I16" t="s">
        <v>306</v>
      </c>
      <c r="J16" t="s">
        <v>855</v>
      </c>
    </row>
    <row r="17" spans="2:10" x14ac:dyDescent="0.2">
      <c r="B17" t="s">
        <v>731</v>
      </c>
      <c r="C17" t="s">
        <v>740</v>
      </c>
      <c r="E17" t="s">
        <v>101</v>
      </c>
      <c r="F17" t="s">
        <v>20</v>
      </c>
      <c r="H17" t="s">
        <v>920</v>
      </c>
      <c r="I17" t="s">
        <v>308</v>
      </c>
      <c r="J17" t="s">
        <v>857</v>
      </c>
    </row>
    <row r="18" spans="2:10" x14ac:dyDescent="0.2">
      <c r="C18" t="s">
        <v>741</v>
      </c>
      <c r="E18" t="s">
        <v>767</v>
      </c>
      <c r="F18" t="s">
        <v>805</v>
      </c>
      <c r="H18" t="s">
        <v>890</v>
      </c>
      <c r="I18" t="s">
        <v>928</v>
      </c>
      <c r="J18" t="s">
        <v>115</v>
      </c>
    </row>
    <row r="19" spans="2:10" x14ac:dyDescent="0.2">
      <c r="C19" t="s">
        <v>742</v>
      </c>
      <c r="E19" t="s">
        <v>768</v>
      </c>
      <c r="F19" t="s">
        <v>806</v>
      </c>
      <c r="H19" t="s">
        <v>921</v>
      </c>
      <c r="I19" t="s">
        <v>295</v>
      </c>
      <c r="J19" t="s">
        <v>865</v>
      </c>
    </row>
    <row r="20" spans="2:10" x14ac:dyDescent="0.2">
      <c r="C20" t="s">
        <v>743</v>
      </c>
      <c r="E20" t="s">
        <v>62</v>
      </c>
      <c r="F20" t="s">
        <v>298</v>
      </c>
      <c r="H20" t="s">
        <v>922</v>
      </c>
      <c r="I20" t="s">
        <v>929</v>
      </c>
      <c r="J20" t="s">
        <v>866</v>
      </c>
    </row>
    <row r="21" spans="2:10" x14ac:dyDescent="0.2">
      <c r="C21" t="s">
        <v>744</v>
      </c>
      <c r="E21" t="s">
        <v>97</v>
      </c>
      <c r="F21" t="s">
        <v>807</v>
      </c>
      <c r="H21" t="s">
        <v>895</v>
      </c>
      <c r="I21" t="s">
        <v>895</v>
      </c>
      <c r="J21" t="s">
        <v>867</v>
      </c>
    </row>
    <row r="22" spans="2:10" x14ac:dyDescent="0.2">
      <c r="C22" t="s">
        <v>745</v>
      </c>
      <c r="E22" t="s">
        <v>730</v>
      </c>
      <c r="F22" t="s">
        <v>808</v>
      </c>
      <c r="I22" t="s">
        <v>930</v>
      </c>
      <c r="J22" t="s">
        <v>730</v>
      </c>
    </row>
    <row r="23" spans="2:10" x14ac:dyDescent="0.2">
      <c r="C23" t="s">
        <v>746</v>
      </c>
      <c r="E23" t="s">
        <v>183</v>
      </c>
      <c r="F23" t="s">
        <v>725</v>
      </c>
      <c r="I23" t="s">
        <v>931</v>
      </c>
      <c r="J23" t="s">
        <v>869</v>
      </c>
    </row>
    <row r="24" spans="2:10" x14ac:dyDescent="0.2">
      <c r="C24" t="s">
        <v>747</v>
      </c>
      <c r="E24" t="s">
        <v>90</v>
      </c>
      <c r="F24" t="s">
        <v>809</v>
      </c>
      <c r="J24" t="s">
        <v>882</v>
      </c>
    </row>
    <row r="25" spans="2:10" x14ac:dyDescent="0.2">
      <c r="C25" t="s">
        <v>52</v>
      </c>
      <c r="E25" t="s">
        <v>785</v>
      </c>
      <c r="F25" t="s">
        <v>810</v>
      </c>
      <c r="J25" t="s">
        <v>883</v>
      </c>
    </row>
    <row r="26" spans="2:10" x14ac:dyDescent="0.2">
      <c r="C26" t="s">
        <v>726</v>
      </c>
      <c r="E26" t="s">
        <v>102</v>
      </c>
      <c r="F26" t="s">
        <v>50</v>
      </c>
      <c r="J26" t="s">
        <v>295</v>
      </c>
    </row>
    <row r="27" spans="2:10" x14ac:dyDescent="0.2">
      <c r="C27" t="s">
        <v>748</v>
      </c>
      <c r="E27" t="s">
        <v>73</v>
      </c>
      <c r="F27" t="s">
        <v>726</v>
      </c>
      <c r="J27" t="s">
        <v>895</v>
      </c>
    </row>
    <row r="28" spans="2:10" x14ac:dyDescent="0.2">
      <c r="C28" t="s">
        <v>156</v>
      </c>
      <c r="E28" t="s">
        <v>99</v>
      </c>
      <c r="F28" t="s">
        <v>811</v>
      </c>
      <c r="J28" t="s">
        <v>903</v>
      </c>
    </row>
    <row r="29" spans="2:10" x14ac:dyDescent="0.2">
      <c r="C29" t="s">
        <v>749</v>
      </c>
      <c r="E29" t="s">
        <v>173</v>
      </c>
      <c r="F29" t="s">
        <v>45</v>
      </c>
    </row>
    <row r="30" spans="2:10" x14ac:dyDescent="0.2">
      <c r="C30" t="s">
        <v>750</v>
      </c>
      <c r="E30" t="s">
        <v>159</v>
      </c>
      <c r="F30" t="s">
        <v>812</v>
      </c>
    </row>
    <row r="31" spans="2:10" x14ac:dyDescent="0.2">
      <c r="C31" t="s">
        <v>75</v>
      </c>
      <c r="E31" t="s">
        <v>787</v>
      </c>
      <c r="F31" t="s">
        <v>42</v>
      </c>
    </row>
    <row r="32" spans="2:10" x14ac:dyDescent="0.2">
      <c r="C32" t="s">
        <v>171</v>
      </c>
      <c r="E32" t="s">
        <v>788</v>
      </c>
      <c r="F32" t="s">
        <v>46</v>
      </c>
    </row>
    <row r="33" spans="3:6" x14ac:dyDescent="0.2">
      <c r="C33" t="s">
        <v>77</v>
      </c>
      <c r="E33" t="s">
        <v>793</v>
      </c>
      <c r="F33" t="s">
        <v>47</v>
      </c>
    </row>
    <row r="34" spans="3:6" x14ac:dyDescent="0.2">
      <c r="C34" t="s">
        <v>164</v>
      </c>
      <c r="E34" t="s">
        <v>176</v>
      </c>
      <c r="F34" t="s">
        <v>813</v>
      </c>
    </row>
    <row r="35" spans="3:6" x14ac:dyDescent="0.2">
      <c r="C35" t="s">
        <v>751</v>
      </c>
      <c r="F35" t="s">
        <v>814</v>
      </c>
    </row>
    <row r="36" spans="3:6" x14ac:dyDescent="0.2">
      <c r="C36" t="s">
        <v>752</v>
      </c>
      <c r="F36" t="s">
        <v>815</v>
      </c>
    </row>
    <row r="37" spans="3:6" x14ac:dyDescent="0.2">
      <c r="C37" t="s">
        <v>38</v>
      </c>
      <c r="F37" t="s">
        <v>234</v>
      </c>
    </row>
    <row r="38" spans="3:6" x14ac:dyDescent="0.2">
      <c r="C38" t="s">
        <v>753</v>
      </c>
      <c r="F38" t="s">
        <v>816</v>
      </c>
    </row>
    <row r="39" spans="3:6" x14ac:dyDescent="0.2">
      <c r="C39" t="s">
        <v>754</v>
      </c>
      <c r="F39" t="s">
        <v>817</v>
      </c>
    </row>
    <row r="40" spans="3:6" x14ac:dyDescent="0.2">
      <c r="C40" t="s">
        <v>56</v>
      </c>
      <c r="F40" t="s">
        <v>818</v>
      </c>
    </row>
    <row r="41" spans="3:6" x14ac:dyDescent="0.2">
      <c r="C41" t="s">
        <v>729</v>
      </c>
      <c r="F41" t="s">
        <v>749</v>
      </c>
    </row>
    <row r="42" spans="3:6" x14ac:dyDescent="0.2">
      <c r="C42" t="s">
        <v>755</v>
      </c>
      <c r="F42" t="s">
        <v>819</v>
      </c>
    </row>
    <row r="43" spans="3:6" x14ac:dyDescent="0.2">
      <c r="C43" t="s">
        <v>756</v>
      </c>
      <c r="F43" t="s">
        <v>820</v>
      </c>
    </row>
    <row r="44" spans="3:6" x14ac:dyDescent="0.2">
      <c r="C44" t="s">
        <v>192</v>
      </c>
      <c r="F44" t="s">
        <v>821</v>
      </c>
    </row>
    <row r="45" spans="3:6" x14ac:dyDescent="0.2">
      <c r="C45" t="s">
        <v>757</v>
      </c>
      <c r="F45" t="s">
        <v>822</v>
      </c>
    </row>
    <row r="46" spans="3:6" x14ac:dyDescent="0.2">
      <c r="C46" t="s">
        <v>758</v>
      </c>
      <c r="F46" t="s">
        <v>117</v>
      </c>
    </row>
    <row r="47" spans="3:6" x14ac:dyDescent="0.2">
      <c r="C47" t="s">
        <v>759</v>
      </c>
      <c r="F47" t="s">
        <v>823</v>
      </c>
    </row>
    <row r="48" spans="3:6" x14ac:dyDescent="0.2">
      <c r="C48" t="s">
        <v>760</v>
      </c>
      <c r="F48" t="s">
        <v>824</v>
      </c>
    </row>
    <row r="49" spans="3:6" x14ac:dyDescent="0.2">
      <c r="C49" t="s">
        <v>761</v>
      </c>
      <c r="F49" t="s">
        <v>825</v>
      </c>
    </row>
    <row r="50" spans="3:6" x14ac:dyDescent="0.2">
      <c r="C50" t="s">
        <v>762</v>
      </c>
      <c r="F50" t="s">
        <v>826</v>
      </c>
    </row>
    <row r="51" spans="3:6" x14ac:dyDescent="0.2">
      <c r="C51" t="s">
        <v>763</v>
      </c>
      <c r="F51" t="s">
        <v>276</v>
      </c>
    </row>
    <row r="52" spans="3:6" x14ac:dyDescent="0.2">
      <c r="C52" t="s">
        <v>36</v>
      </c>
      <c r="F52" t="s">
        <v>229</v>
      </c>
    </row>
    <row r="53" spans="3:6" x14ac:dyDescent="0.2">
      <c r="C53" t="s">
        <v>26</v>
      </c>
      <c r="F53" t="s">
        <v>257</v>
      </c>
    </row>
    <row r="54" spans="3:6" x14ac:dyDescent="0.2">
      <c r="C54" t="s">
        <v>167</v>
      </c>
      <c r="F54" t="s">
        <v>255</v>
      </c>
    </row>
    <row r="55" spans="3:6" x14ac:dyDescent="0.2">
      <c r="C55" t="s">
        <v>764</v>
      </c>
      <c r="F55" t="s">
        <v>259</v>
      </c>
    </row>
    <row r="56" spans="3:6" x14ac:dyDescent="0.2">
      <c r="C56" t="s">
        <v>67</v>
      </c>
      <c r="F56" t="s">
        <v>263</v>
      </c>
    </row>
    <row r="57" spans="3:6" x14ac:dyDescent="0.2">
      <c r="C57" t="s">
        <v>162</v>
      </c>
      <c r="F57" t="s">
        <v>300</v>
      </c>
    </row>
    <row r="58" spans="3:6" x14ac:dyDescent="0.2">
      <c r="C58" t="s">
        <v>765</v>
      </c>
      <c r="F58" t="s">
        <v>125</v>
      </c>
    </row>
    <row r="59" spans="3:6" x14ac:dyDescent="0.2">
      <c r="C59" t="s">
        <v>169</v>
      </c>
      <c r="F59" t="s">
        <v>827</v>
      </c>
    </row>
    <row r="60" spans="3:6" x14ac:dyDescent="0.2">
      <c r="C60" t="s">
        <v>88</v>
      </c>
      <c r="F60" t="s">
        <v>828</v>
      </c>
    </row>
    <row r="61" spans="3:6" x14ac:dyDescent="0.2">
      <c r="C61" t="s">
        <v>766</v>
      </c>
      <c r="F61" t="s">
        <v>829</v>
      </c>
    </row>
    <row r="62" spans="3:6" x14ac:dyDescent="0.2">
      <c r="C62" t="s">
        <v>101</v>
      </c>
      <c r="F62" t="s">
        <v>830</v>
      </c>
    </row>
    <row r="63" spans="3:6" x14ac:dyDescent="0.2">
      <c r="C63" t="s">
        <v>767</v>
      </c>
      <c r="F63" t="s">
        <v>831</v>
      </c>
    </row>
    <row r="64" spans="3:6" x14ac:dyDescent="0.2">
      <c r="C64" t="s">
        <v>768</v>
      </c>
      <c r="F64" t="s">
        <v>832</v>
      </c>
    </row>
    <row r="65" spans="3:6" x14ac:dyDescent="0.2">
      <c r="C65" t="s">
        <v>59</v>
      </c>
      <c r="F65" t="s">
        <v>729</v>
      </c>
    </row>
    <row r="66" spans="3:6" x14ac:dyDescent="0.2">
      <c r="C66" t="s">
        <v>769</v>
      </c>
      <c r="F66" t="s">
        <v>37</v>
      </c>
    </row>
    <row r="67" spans="3:6" x14ac:dyDescent="0.2">
      <c r="C67" t="s">
        <v>770</v>
      </c>
      <c r="F67" t="s">
        <v>267</v>
      </c>
    </row>
    <row r="68" spans="3:6" x14ac:dyDescent="0.2">
      <c r="C68" t="s">
        <v>97</v>
      </c>
      <c r="F68" t="s">
        <v>833</v>
      </c>
    </row>
    <row r="69" spans="3:6" x14ac:dyDescent="0.2">
      <c r="C69" t="s">
        <v>186</v>
      </c>
      <c r="F69" t="s">
        <v>834</v>
      </c>
    </row>
    <row r="70" spans="3:6" x14ac:dyDescent="0.2">
      <c r="C70" t="s">
        <v>730</v>
      </c>
      <c r="F70" t="s">
        <v>835</v>
      </c>
    </row>
    <row r="71" spans="3:6" x14ac:dyDescent="0.2">
      <c r="C71" t="s">
        <v>771</v>
      </c>
      <c r="F71" t="s">
        <v>836</v>
      </c>
    </row>
    <row r="72" spans="3:6" x14ac:dyDescent="0.2">
      <c r="C72" t="s">
        <v>81</v>
      </c>
      <c r="F72" t="s">
        <v>269</v>
      </c>
    </row>
    <row r="73" spans="3:6" x14ac:dyDescent="0.2">
      <c r="C73" t="s">
        <v>772</v>
      </c>
      <c r="F73" t="s">
        <v>837</v>
      </c>
    </row>
    <row r="74" spans="3:6" x14ac:dyDescent="0.2">
      <c r="C74" t="s">
        <v>104</v>
      </c>
      <c r="F74" t="s">
        <v>286</v>
      </c>
    </row>
    <row r="75" spans="3:6" x14ac:dyDescent="0.2">
      <c r="C75" t="s">
        <v>773</v>
      </c>
      <c r="F75" t="s">
        <v>283</v>
      </c>
    </row>
    <row r="76" spans="3:6" x14ac:dyDescent="0.2">
      <c r="C76" t="s">
        <v>183</v>
      </c>
      <c r="F76" t="s">
        <v>838</v>
      </c>
    </row>
    <row r="77" spans="3:6" x14ac:dyDescent="0.2">
      <c r="C77" t="s">
        <v>28</v>
      </c>
      <c r="F77" t="s">
        <v>839</v>
      </c>
    </row>
    <row r="78" spans="3:6" x14ac:dyDescent="0.2">
      <c r="C78" t="s">
        <v>774</v>
      </c>
      <c r="F78" t="s">
        <v>840</v>
      </c>
    </row>
    <row r="79" spans="3:6" x14ac:dyDescent="0.2">
      <c r="C79" t="s">
        <v>200</v>
      </c>
      <c r="F79" t="s">
        <v>111</v>
      </c>
    </row>
    <row r="80" spans="3:6" x14ac:dyDescent="0.2">
      <c r="C80" t="s">
        <v>775</v>
      </c>
      <c r="F80" t="s">
        <v>841</v>
      </c>
    </row>
    <row r="81" spans="3:6" x14ac:dyDescent="0.2">
      <c r="C81" t="s">
        <v>776</v>
      </c>
      <c r="F81" t="s">
        <v>842</v>
      </c>
    </row>
    <row r="82" spans="3:6" x14ac:dyDescent="0.2">
      <c r="C82" t="s">
        <v>777</v>
      </c>
      <c r="F82" t="s">
        <v>843</v>
      </c>
    </row>
    <row r="83" spans="3:6" x14ac:dyDescent="0.2">
      <c r="C83" t="s">
        <v>203</v>
      </c>
      <c r="F83" t="s">
        <v>844</v>
      </c>
    </row>
    <row r="84" spans="3:6" x14ac:dyDescent="0.2">
      <c r="C84" t="s">
        <v>778</v>
      </c>
      <c r="F84" t="s">
        <v>845</v>
      </c>
    </row>
    <row r="85" spans="3:6" x14ac:dyDescent="0.2">
      <c r="C85" t="s">
        <v>779</v>
      </c>
      <c r="F85" t="s">
        <v>846</v>
      </c>
    </row>
    <row r="86" spans="3:6" x14ac:dyDescent="0.2">
      <c r="C86" t="s">
        <v>780</v>
      </c>
      <c r="F86" t="s">
        <v>847</v>
      </c>
    </row>
    <row r="87" spans="3:6" x14ac:dyDescent="0.2">
      <c r="C87" t="s">
        <v>781</v>
      </c>
      <c r="F87" t="s">
        <v>848</v>
      </c>
    </row>
    <row r="88" spans="3:6" x14ac:dyDescent="0.2">
      <c r="C88" t="s">
        <v>782</v>
      </c>
      <c r="F88" t="s">
        <v>849</v>
      </c>
    </row>
    <row r="89" spans="3:6" x14ac:dyDescent="0.2">
      <c r="C89" t="s">
        <v>783</v>
      </c>
      <c r="F89" t="s">
        <v>850</v>
      </c>
    </row>
    <row r="90" spans="3:6" x14ac:dyDescent="0.2">
      <c r="C90" t="s">
        <v>784</v>
      </c>
      <c r="F90" t="s">
        <v>851</v>
      </c>
    </row>
    <row r="91" spans="3:6" x14ac:dyDescent="0.2">
      <c r="C91" t="s">
        <v>90</v>
      </c>
      <c r="F91" t="s">
        <v>852</v>
      </c>
    </row>
    <row r="92" spans="3:6" x14ac:dyDescent="0.2">
      <c r="C92" t="s">
        <v>785</v>
      </c>
      <c r="F92" t="s">
        <v>853</v>
      </c>
    </row>
    <row r="93" spans="3:6" x14ac:dyDescent="0.2">
      <c r="C93" t="s">
        <v>102</v>
      </c>
      <c r="F93" t="s">
        <v>854</v>
      </c>
    </row>
    <row r="94" spans="3:6" x14ac:dyDescent="0.2">
      <c r="C94" t="s">
        <v>66</v>
      </c>
      <c r="F94" t="s">
        <v>855</v>
      </c>
    </row>
    <row r="95" spans="3:6" x14ac:dyDescent="0.2">
      <c r="C95" t="s">
        <v>71</v>
      </c>
      <c r="F95" t="s">
        <v>856</v>
      </c>
    </row>
    <row r="96" spans="3:6" x14ac:dyDescent="0.2">
      <c r="C96" t="s">
        <v>786</v>
      </c>
      <c r="F96" t="s">
        <v>857</v>
      </c>
    </row>
    <row r="97" spans="3:6" x14ac:dyDescent="0.2">
      <c r="C97" t="s">
        <v>99</v>
      </c>
      <c r="F97" t="s">
        <v>858</v>
      </c>
    </row>
    <row r="98" spans="3:6" x14ac:dyDescent="0.2">
      <c r="C98" t="s">
        <v>173</v>
      </c>
      <c r="F98" t="s">
        <v>859</v>
      </c>
    </row>
    <row r="99" spans="3:6" x14ac:dyDescent="0.2">
      <c r="C99" t="s">
        <v>159</v>
      </c>
      <c r="F99" t="s">
        <v>33</v>
      </c>
    </row>
    <row r="100" spans="3:6" x14ac:dyDescent="0.2">
      <c r="C100" t="s">
        <v>217</v>
      </c>
      <c r="F100" t="s">
        <v>860</v>
      </c>
    </row>
    <row r="101" spans="3:6" x14ac:dyDescent="0.2">
      <c r="C101" t="s">
        <v>138</v>
      </c>
      <c r="F101" t="s">
        <v>861</v>
      </c>
    </row>
    <row r="102" spans="3:6" x14ac:dyDescent="0.2">
      <c r="C102" t="s">
        <v>787</v>
      </c>
      <c r="F102" t="s">
        <v>132</v>
      </c>
    </row>
    <row r="103" spans="3:6" x14ac:dyDescent="0.2">
      <c r="C103" t="s">
        <v>788</v>
      </c>
      <c r="F103" t="s">
        <v>862</v>
      </c>
    </row>
    <row r="104" spans="3:6" x14ac:dyDescent="0.2">
      <c r="C104" t="s">
        <v>194</v>
      </c>
      <c r="F104" t="s">
        <v>863</v>
      </c>
    </row>
    <row r="105" spans="3:6" x14ac:dyDescent="0.2">
      <c r="C105" t="s">
        <v>176</v>
      </c>
      <c r="F105" t="s">
        <v>864</v>
      </c>
    </row>
    <row r="106" spans="3:6" x14ac:dyDescent="0.2">
      <c r="F106" t="s">
        <v>115</v>
      </c>
    </row>
    <row r="107" spans="3:6" x14ac:dyDescent="0.2">
      <c r="F107" t="s">
        <v>865</v>
      </c>
    </row>
    <row r="108" spans="3:6" x14ac:dyDescent="0.2">
      <c r="F108" t="s">
        <v>866</v>
      </c>
    </row>
    <row r="109" spans="3:6" x14ac:dyDescent="0.2">
      <c r="F109" t="s">
        <v>68</v>
      </c>
    </row>
    <row r="110" spans="3:6" x14ac:dyDescent="0.2">
      <c r="F110" t="s">
        <v>867</v>
      </c>
    </row>
    <row r="111" spans="3:6" x14ac:dyDescent="0.2">
      <c r="F111" t="s">
        <v>868</v>
      </c>
    </row>
    <row r="112" spans="3:6" x14ac:dyDescent="0.2">
      <c r="F112" t="s">
        <v>730</v>
      </c>
    </row>
    <row r="113" spans="6:6" x14ac:dyDescent="0.2">
      <c r="F113" t="s">
        <v>869</v>
      </c>
    </row>
    <row r="114" spans="6:6" x14ac:dyDescent="0.2">
      <c r="F114" t="s">
        <v>870</v>
      </c>
    </row>
    <row r="115" spans="6:6" x14ac:dyDescent="0.2">
      <c r="F115" t="s">
        <v>231</v>
      </c>
    </row>
    <row r="116" spans="6:6" x14ac:dyDescent="0.2">
      <c r="F116" t="s">
        <v>311</v>
      </c>
    </row>
    <row r="117" spans="6:6" x14ac:dyDescent="0.2">
      <c r="F117" t="s">
        <v>871</v>
      </c>
    </row>
    <row r="118" spans="6:6" x14ac:dyDescent="0.2">
      <c r="F118" t="s">
        <v>63</v>
      </c>
    </row>
    <row r="119" spans="6:6" x14ac:dyDescent="0.2">
      <c r="F119" t="s">
        <v>69</v>
      </c>
    </row>
    <row r="120" spans="6:6" x14ac:dyDescent="0.2">
      <c r="F120" t="s">
        <v>872</v>
      </c>
    </row>
    <row r="121" spans="6:6" x14ac:dyDescent="0.2">
      <c r="F121" t="s">
        <v>873</v>
      </c>
    </row>
    <row r="122" spans="6:6" x14ac:dyDescent="0.2">
      <c r="F122" t="s">
        <v>874</v>
      </c>
    </row>
    <row r="123" spans="6:6" x14ac:dyDescent="0.2">
      <c r="F123" t="s">
        <v>875</v>
      </c>
    </row>
    <row r="124" spans="6:6" x14ac:dyDescent="0.2">
      <c r="F124" t="s">
        <v>876</v>
      </c>
    </row>
    <row r="125" spans="6:6" x14ac:dyDescent="0.2">
      <c r="F125" t="s">
        <v>877</v>
      </c>
    </row>
    <row r="126" spans="6:6" x14ac:dyDescent="0.2">
      <c r="F126" t="s">
        <v>226</v>
      </c>
    </row>
    <row r="127" spans="6:6" x14ac:dyDescent="0.2">
      <c r="F127" t="s">
        <v>878</v>
      </c>
    </row>
    <row r="128" spans="6:6" x14ac:dyDescent="0.2">
      <c r="F128" t="s">
        <v>879</v>
      </c>
    </row>
    <row r="129" spans="6:6" x14ac:dyDescent="0.2">
      <c r="F129" t="s">
        <v>880</v>
      </c>
    </row>
    <row r="130" spans="6:6" x14ac:dyDescent="0.2">
      <c r="F130" t="s">
        <v>881</v>
      </c>
    </row>
    <row r="131" spans="6:6" x14ac:dyDescent="0.2">
      <c r="F131" t="s">
        <v>882</v>
      </c>
    </row>
    <row r="132" spans="6:6" x14ac:dyDescent="0.2">
      <c r="F132" t="s">
        <v>883</v>
      </c>
    </row>
    <row r="133" spans="6:6" x14ac:dyDescent="0.2">
      <c r="F133" t="s">
        <v>296</v>
      </c>
    </row>
    <row r="134" spans="6:6" x14ac:dyDescent="0.2">
      <c r="F134" t="s">
        <v>884</v>
      </c>
    </row>
    <row r="135" spans="6:6" x14ac:dyDescent="0.2">
      <c r="F135" t="s">
        <v>885</v>
      </c>
    </row>
    <row r="136" spans="6:6" x14ac:dyDescent="0.2">
      <c r="F136" t="s">
        <v>246</v>
      </c>
    </row>
    <row r="137" spans="6:6" x14ac:dyDescent="0.2">
      <c r="F137" t="s">
        <v>886</v>
      </c>
    </row>
    <row r="138" spans="6:6" x14ac:dyDescent="0.2">
      <c r="F138" t="s">
        <v>887</v>
      </c>
    </row>
    <row r="139" spans="6:6" x14ac:dyDescent="0.2">
      <c r="F139" t="s">
        <v>212</v>
      </c>
    </row>
    <row r="140" spans="6:6" x14ac:dyDescent="0.2">
      <c r="F140" t="s">
        <v>888</v>
      </c>
    </row>
    <row r="141" spans="6:6" x14ac:dyDescent="0.2">
      <c r="F141" t="s">
        <v>889</v>
      </c>
    </row>
    <row r="142" spans="6:6" x14ac:dyDescent="0.2">
      <c r="F142" t="s">
        <v>890</v>
      </c>
    </row>
    <row r="143" spans="6:6" x14ac:dyDescent="0.2">
      <c r="F143" t="s">
        <v>891</v>
      </c>
    </row>
    <row r="144" spans="6:6" x14ac:dyDescent="0.2">
      <c r="F144" t="s">
        <v>892</v>
      </c>
    </row>
    <row r="145" spans="6:6" x14ac:dyDescent="0.2">
      <c r="F145" t="s">
        <v>893</v>
      </c>
    </row>
    <row r="146" spans="6:6" x14ac:dyDescent="0.2">
      <c r="F146" t="s">
        <v>894</v>
      </c>
    </row>
    <row r="147" spans="6:6" x14ac:dyDescent="0.2">
      <c r="F147" t="s">
        <v>895</v>
      </c>
    </row>
    <row r="148" spans="6:6" x14ac:dyDescent="0.2">
      <c r="F148" t="s">
        <v>896</v>
      </c>
    </row>
    <row r="149" spans="6:6" x14ac:dyDescent="0.2">
      <c r="F149" t="s">
        <v>897</v>
      </c>
    </row>
    <row r="150" spans="6:6" x14ac:dyDescent="0.2">
      <c r="F150" t="s">
        <v>898</v>
      </c>
    </row>
    <row r="151" spans="6:6" x14ac:dyDescent="0.2">
      <c r="F151" t="s">
        <v>136</v>
      </c>
    </row>
    <row r="152" spans="6:6" x14ac:dyDescent="0.2">
      <c r="F152" t="s">
        <v>899</v>
      </c>
    </row>
    <row r="153" spans="6:6" x14ac:dyDescent="0.2">
      <c r="F153" t="s">
        <v>900</v>
      </c>
    </row>
    <row r="154" spans="6:6" x14ac:dyDescent="0.2">
      <c r="F154" t="s">
        <v>273</v>
      </c>
    </row>
    <row r="155" spans="6:6" x14ac:dyDescent="0.2">
      <c r="F155" t="s">
        <v>901</v>
      </c>
    </row>
    <row r="156" spans="6:6" x14ac:dyDescent="0.2">
      <c r="F156" t="s">
        <v>902</v>
      </c>
    </row>
    <row r="157" spans="6:6" x14ac:dyDescent="0.2">
      <c r="F157" t="s">
        <v>239</v>
      </c>
    </row>
    <row r="158" spans="6:6" x14ac:dyDescent="0.2">
      <c r="F158" t="s">
        <v>903</v>
      </c>
    </row>
    <row r="159" spans="6:6" x14ac:dyDescent="0.2">
      <c r="F159" t="s">
        <v>904</v>
      </c>
    </row>
    <row r="160" spans="6:6" x14ac:dyDescent="0.2">
      <c r="F160" t="s">
        <v>905</v>
      </c>
    </row>
    <row r="161" spans="6:6" x14ac:dyDescent="0.2">
      <c r="F161" t="s">
        <v>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9"/>
  <sheetViews>
    <sheetView workbookViewId="0"/>
  </sheetViews>
  <sheetFormatPr baseColWidth="10" defaultColWidth="8.83203125" defaultRowHeight="15" x14ac:dyDescent="0.2"/>
  <cols>
    <col min="1" max="1" width="140" customWidth="1"/>
  </cols>
  <sheetData>
    <row r="1" spans="1:1" ht="19" x14ac:dyDescent="0.25">
      <c r="A1" s="2" t="s">
        <v>933</v>
      </c>
    </row>
    <row r="3" spans="1:1" x14ac:dyDescent="0.2">
      <c r="A3" t="s">
        <v>934</v>
      </c>
    </row>
    <row r="4" spans="1:1" x14ac:dyDescent="0.2">
      <c r="A4" t="s">
        <v>935</v>
      </c>
    </row>
    <row r="5" spans="1:1" x14ac:dyDescent="0.2">
      <c r="A5" t="s">
        <v>936</v>
      </c>
    </row>
    <row r="6" spans="1:1" x14ac:dyDescent="0.2">
      <c r="A6" t="s">
        <v>937</v>
      </c>
    </row>
    <row r="7" spans="1:1" x14ac:dyDescent="0.2">
      <c r="A7" t="s">
        <v>938</v>
      </c>
    </row>
    <row r="8" spans="1:1" x14ac:dyDescent="0.2">
      <c r="A8" t="s">
        <v>939</v>
      </c>
    </row>
    <row r="9" spans="1:1" x14ac:dyDescent="0.2">
      <c r="A9" t="s">
        <v>940</v>
      </c>
    </row>
    <row r="10" spans="1:1" x14ac:dyDescent="0.2">
      <c r="A10" t="s">
        <v>941</v>
      </c>
    </row>
    <row r="11" spans="1:1" x14ac:dyDescent="0.2">
      <c r="A11" t="s">
        <v>942</v>
      </c>
    </row>
    <row r="13" spans="1:1" x14ac:dyDescent="0.2">
      <c r="A13" t="s">
        <v>943</v>
      </c>
    </row>
    <row r="14" spans="1:1" x14ac:dyDescent="0.2">
      <c r="A14" t="s">
        <v>944</v>
      </c>
    </row>
    <row r="16" spans="1:1" x14ac:dyDescent="0.2">
      <c r="A16" t="s">
        <v>945</v>
      </c>
    </row>
    <row r="17" spans="1:1" x14ac:dyDescent="0.2">
      <c r="A17" t="s">
        <v>946</v>
      </c>
    </row>
    <row r="18" spans="1:1" x14ac:dyDescent="0.2">
      <c r="A18" t="s">
        <v>947</v>
      </c>
    </row>
    <row r="19" spans="1:1" x14ac:dyDescent="0.2">
      <c r="A19" t="s">
        <v>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7"/>
  <sheetViews>
    <sheetView workbookViewId="0"/>
  </sheetViews>
  <sheetFormatPr baseColWidth="10" defaultColWidth="8.83203125" defaultRowHeight="15" x14ac:dyDescent="0.2"/>
  <cols>
    <col min="1" max="1" width="35" customWidth="1"/>
    <col min="2" max="2" width="17" customWidth="1"/>
    <col min="3" max="3" width="33" customWidth="1"/>
    <col min="4" max="4" width="6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617</v>
      </c>
    </row>
    <row r="2" spans="1:4" x14ac:dyDescent="0.2">
      <c r="A2" t="s">
        <v>355</v>
      </c>
      <c r="B2" t="s">
        <v>130</v>
      </c>
      <c r="C2" t="s">
        <v>356</v>
      </c>
      <c r="D2" t="str">
        <f>IF((COUNTIFS(MappingEditor!$A:$A,$A2,MappingEditor!$J:$J,"Y")+COUNTIFS(FallbackEditor!$A:$A,$A2,FallbackEditor!$J:$J,"Y"))&gt;0,"mapped","unmapped")</f>
        <v>mapped</v>
      </c>
    </row>
    <row r="3" spans="1:4" x14ac:dyDescent="0.2">
      <c r="A3" t="s">
        <v>357</v>
      </c>
      <c r="B3" t="s">
        <v>79</v>
      </c>
      <c r="C3" t="s">
        <v>80</v>
      </c>
      <c r="D3" t="str">
        <f>IF((COUNTIFS(MappingEditor!$A:$A,$A3,MappingEditor!$J:$J,"Y")+COUNTIFS(FallbackEditor!$A:$A,$A3,FallbackEditor!$J:$J,"Y"))&gt;0,"mapped","unmapped")</f>
        <v>mapped</v>
      </c>
    </row>
    <row r="4" spans="1:4" x14ac:dyDescent="0.2">
      <c r="A4" t="s">
        <v>358</v>
      </c>
      <c r="B4" t="s">
        <v>87</v>
      </c>
      <c r="C4" t="s">
        <v>120</v>
      </c>
      <c r="D4" t="str">
        <f>IF((COUNTIFS(MappingEditor!$A:$A,$A4,MappingEditor!$J:$J,"Y")+COUNTIFS(FallbackEditor!$A:$A,$A4,FallbackEditor!$J:$J,"Y"))&gt;0,"mapped","unmapped")</f>
        <v>mapped</v>
      </c>
    </row>
    <row r="5" spans="1:4" x14ac:dyDescent="0.2">
      <c r="A5" t="s">
        <v>145</v>
      </c>
      <c r="B5" t="s">
        <v>87</v>
      </c>
      <c r="C5" t="s">
        <v>146</v>
      </c>
      <c r="D5" t="str">
        <f>IF((COUNTIFS(MappingEditor!$A:$A,$A5,MappingEditor!$J:$J,"Y")+COUNTIFS(FallbackEditor!$A:$A,$A5,FallbackEditor!$J:$J,"Y"))&gt;0,"mapped","unmapped")</f>
        <v>mapped</v>
      </c>
    </row>
    <row r="6" spans="1:4" x14ac:dyDescent="0.2">
      <c r="A6" t="s">
        <v>359</v>
      </c>
      <c r="B6" t="s">
        <v>87</v>
      </c>
      <c r="C6" t="s">
        <v>154</v>
      </c>
      <c r="D6" t="str">
        <f>IF((COUNTIFS(MappingEditor!$A:$A,$A6,MappingEditor!$J:$J,"Y")+COUNTIFS(FallbackEditor!$A:$A,$A6,FallbackEditor!$J:$J,"Y"))&gt;0,"mapped","unmapped")</f>
        <v>mapped</v>
      </c>
    </row>
    <row r="7" spans="1:4" x14ac:dyDescent="0.2">
      <c r="A7" t="s">
        <v>360</v>
      </c>
      <c r="B7" t="s">
        <v>87</v>
      </c>
      <c r="C7" t="s">
        <v>154</v>
      </c>
      <c r="D7" t="str">
        <f>IF((COUNTIFS(MappingEditor!$A:$A,$A7,MappingEditor!$J:$J,"Y")+COUNTIFS(FallbackEditor!$A:$A,$A7,FallbackEditor!$J:$J,"Y"))&gt;0,"mapped","unmapped")</f>
        <v>mapped</v>
      </c>
    </row>
    <row r="8" spans="1:4" x14ac:dyDescent="0.2">
      <c r="A8" t="s">
        <v>361</v>
      </c>
      <c r="B8" t="s">
        <v>130</v>
      </c>
      <c r="C8" t="s">
        <v>356</v>
      </c>
      <c r="D8" t="str">
        <f>IF((COUNTIFS(MappingEditor!$A:$A,$A8,MappingEditor!$J:$J,"Y")+COUNTIFS(FallbackEditor!$A:$A,$A8,FallbackEditor!$J:$J,"Y"))&gt;0,"mapped","unmapped")</f>
        <v>mapped</v>
      </c>
    </row>
    <row r="9" spans="1:4" x14ac:dyDescent="0.2">
      <c r="A9" t="s">
        <v>180</v>
      </c>
      <c r="B9" t="s">
        <v>87</v>
      </c>
      <c r="C9" t="s">
        <v>96</v>
      </c>
      <c r="D9" t="str">
        <f>IF((COUNTIFS(MappingEditor!$A:$A,$A9,MappingEditor!$J:$J,"Y")+COUNTIFS(FallbackEditor!$A:$A,$A9,FallbackEditor!$J:$J,"Y"))&gt;0,"mapped","unmapped")</f>
        <v>mapped</v>
      </c>
    </row>
    <row r="10" spans="1:4" x14ac:dyDescent="0.2">
      <c r="A10" t="s">
        <v>362</v>
      </c>
      <c r="B10" t="s">
        <v>87</v>
      </c>
      <c r="C10" t="s">
        <v>96</v>
      </c>
      <c r="D10" t="str">
        <f>IF((COUNTIFS(MappingEditor!$A:$A,$A10,MappingEditor!$J:$J,"Y")+COUNTIFS(FallbackEditor!$A:$A,$A10,FallbackEditor!$J:$J,"Y"))&gt;0,"mapped","unmapped")</f>
        <v>mapped</v>
      </c>
    </row>
    <row r="11" spans="1:4" x14ac:dyDescent="0.2">
      <c r="A11" t="s">
        <v>363</v>
      </c>
      <c r="B11" t="s">
        <v>87</v>
      </c>
      <c r="C11" t="s">
        <v>96</v>
      </c>
      <c r="D11" t="str">
        <f>IF((COUNTIFS(MappingEditor!$A:$A,$A11,MappingEditor!$J:$J,"Y")+COUNTIFS(FallbackEditor!$A:$A,$A11,FallbackEditor!$J:$J,"Y"))&gt;0,"mapped","unmapped")</f>
        <v>mapped</v>
      </c>
    </row>
    <row r="12" spans="1:4" x14ac:dyDescent="0.2">
      <c r="A12" t="s">
        <v>364</v>
      </c>
      <c r="B12" t="s">
        <v>87</v>
      </c>
      <c r="C12" t="s">
        <v>107</v>
      </c>
      <c r="D12" t="str">
        <f>IF((COUNTIFS(MappingEditor!$A:$A,$A12,MappingEditor!$J:$J,"Y")+COUNTIFS(FallbackEditor!$A:$A,$A12,FallbackEditor!$J:$J,"Y"))&gt;0,"mapped","unmapped")</f>
        <v>mapped</v>
      </c>
    </row>
    <row r="13" spans="1:4" x14ac:dyDescent="0.2">
      <c r="A13" t="s">
        <v>53</v>
      </c>
      <c r="B13" t="s">
        <v>15</v>
      </c>
      <c r="C13" t="s">
        <v>54</v>
      </c>
      <c r="D13" t="str">
        <f>IF((COUNTIFS(MappingEditor!$A:$A,$A13,MappingEditor!$J:$J,"Y")+COUNTIFS(FallbackEditor!$A:$A,$A13,FallbackEditor!$J:$J,"Y"))&gt;0,"mapped","unmapped")</f>
        <v>mapped</v>
      </c>
    </row>
    <row r="14" spans="1:4" x14ac:dyDescent="0.2">
      <c r="A14" t="s">
        <v>248</v>
      </c>
      <c r="B14" t="s">
        <v>249</v>
      </c>
      <c r="C14" t="s">
        <v>16</v>
      </c>
      <c r="D14" t="str">
        <f>IF((COUNTIFS(MappingEditor!$A:$A,$A14,MappingEditor!$J:$J,"Y")+COUNTIFS(FallbackEditor!$A:$A,$A14,FallbackEditor!$J:$J,"Y"))&gt;0,"mapped","unmapped")</f>
        <v>mapped</v>
      </c>
    </row>
    <row r="15" spans="1:4" x14ac:dyDescent="0.2">
      <c r="A15" t="s">
        <v>365</v>
      </c>
      <c r="B15" t="s">
        <v>249</v>
      </c>
      <c r="C15" t="s">
        <v>16</v>
      </c>
      <c r="D15" t="str">
        <f>IF((COUNTIFS(MappingEditor!$A:$A,$A15,MappingEditor!$J:$J,"Y")+COUNTIFS(FallbackEditor!$A:$A,$A15,FallbackEditor!$J:$J,"Y"))&gt;0,"mapped","unmapped")</f>
        <v>mapped</v>
      </c>
    </row>
    <row r="16" spans="1:4" x14ac:dyDescent="0.2">
      <c r="A16" t="s">
        <v>366</v>
      </c>
      <c r="B16" t="s">
        <v>249</v>
      </c>
      <c r="C16" t="s">
        <v>16</v>
      </c>
      <c r="D16" t="str">
        <f>IF((COUNTIFS(MappingEditor!$A:$A,$A16,MappingEditor!$J:$J,"Y")+COUNTIFS(FallbackEditor!$A:$A,$A16,FallbackEditor!$J:$J,"Y"))&gt;0,"mapped","unmapped")</f>
        <v>mapped</v>
      </c>
    </row>
    <row r="17" spans="1:4" x14ac:dyDescent="0.2">
      <c r="A17" t="s">
        <v>367</v>
      </c>
      <c r="B17" t="s">
        <v>40</v>
      </c>
      <c r="C17" t="s">
        <v>16</v>
      </c>
      <c r="D17" t="str">
        <f>IF((COUNTIFS(MappingEditor!$A:$A,$A17,MappingEditor!$J:$J,"Y")+COUNTIFS(FallbackEditor!$A:$A,$A17,FallbackEditor!$J:$J,"Y"))&gt;0,"mapped","unmapped")</f>
        <v>mapped</v>
      </c>
    </row>
    <row r="18" spans="1:4" x14ac:dyDescent="0.2">
      <c r="A18" t="s">
        <v>368</v>
      </c>
      <c r="B18" t="s">
        <v>249</v>
      </c>
      <c r="C18" t="s">
        <v>16</v>
      </c>
      <c r="D18" t="str">
        <f>IF((COUNTIFS(MappingEditor!$A:$A,$A18,MappingEditor!$J:$J,"Y")+COUNTIFS(FallbackEditor!$A:$A,$A18,FallbackEditor!$J:$J,"Y"))&gt;0,"mapped","unmapped")</f>
        <v>mapped</v>
      </c>
    </row>
    <row r="19" spans="1:4" x14ac:dyDescent="0.2">
      <c r="A19" t="s">
        <v>369</v>
      </c>
      <c r="B19" t="s">
        <v>249</v>
      </c>
      <c r="C19" t="s">
        <v>16</v>
      </c>
      <c r="D19" t="str">
        <f>IF((COUNTIFS(MappingEditor!$A:$A,$A19,MappingEditor!$J:$J,"Y")+COUNTIFS(FallbackEditor!$A:$A,$A19,FallbackEditor!$J:$J,"Y"))&gt;0,"mapped","unmapped")</f>
        <v>mapped</v>
      </c>
    </row>
    <row r="20" spans="1:4" x14ac:dyDescent="0.2">
      <c r="A20" t="s">
        <v>370</v>
      </c>
      <c r="B20" t="s">
        <v>249</v>
      </c>
      <c r="C20" t="s">
        <v>16</v>
      </c>
      <c r="D20" t="str">
        <f>IF((COUNTIFS(MappingEditor!$A:$A,$A20,MappingEditor!$J:$J,"Y")+COUNTIFS(FallbackEditor!$A:$A,$A20,FallbackEditor!$J:$J,"Y"))&gt;0,"mapped","unmapped")</f>
        <v>mapped</v>
      </c>
    </row>
    <row r="21" spans="1:4" x14ac:dyDescent="0.2">
      <c r="A21" t="s">
        <v>371</v>
      </c>
      <c r="B21" t="s">
        <v>249</v>
      </c>
      <c r="C21" t="s">
        <v>16</v>
      </c>
      <c r="D21" t="str">
        <f>IF((COUNTIFS(MappingEditor!$A:$A,$A21,MappingEditor!$J:$J,"Y")+COUNTIFS(FallbackEditor!$A:$A,$A21,FallbackEditor!$J:$J,"Y"))&gt;0,"mapped","unmapped")</f>
        <v>mapped</v>
      </c>
    </row>
    <row r="22" spans="1:4" x14ac:dyDescent="0.2">
      <c r="A22" t="s">
        <v>372</v>
      </c>
      <c r="B22" t="s">
        <v>249</v>
      </c>
      <c r="C22" t="s">
        <v>16</v>
      </c>
      <c r="D22" t="str">
        <f>IF((COUNTIFS(MappingEditor!$A:$A,$A22,MappingEditor!$J:$J,"Y")+COUNTIFS(FallbackEditor!$A:$A,$A22,FallbackEditor!$J:$J,"Y"))&gt;0,"mapped","unmapped")</f>
        <v>mapped</v>
      </c>
    </row>
    <row r="23" spans="1:4" x14ac:dyDescent="0.2">
      <c r="A23" t="s">
        <v>374</v>
      </c>
      <c r="B23" t="s">
        <v>249</v>
      </c>
      <c r="C23" t="s">
        <v>16</v>
      </c>
      <c r="D23" t="str">
        <f>IF((COUNTIFS(MappingEditor!$A:$A,$A23,MappingEditor!$J:$J,"Y")+COUNTIFS(FallbackEditor!$A:$A,$A23,FallbackEditor!$J:$J,"Y"))&gt;0,"mapped","unmapped")</f>
        <v>mapped</v>
      </c>
    </row>
    <row r="24" spans="1:4" x14ac:dyDescent="0.2">
      <c r="A24" t="s">
        <v>375</v>
      </c>
      <c r="B24" t="s">
        <v>249</v>
      </c>
      <c r="C24" t="s">
        <v>16</v>
      </c>
      <c r="D24" t="str">
        <f>IF((COUNTIFS(MappingEditor!$A:$A,$A24,MappingEditor!$J:$J,"Y")+COUNTIFS(FallbackEditor!$A:$A,$A24,FallbackEditor!$J:$J,"Y"))&gt;0,"mapped","unmapped")</f>
        <v>mapped</v>
      </c>
    </row>
    <row r="25" spans="1:4" x14ac:dyDescent="0.2">
      <c r="A25" t="s">
        <v>376</v>
      </c>
      <c r="B25" t="s">
        <v>249</v>
      </c>
      <c r="C25" t="s">
        <v>16</v>
      </c>
      <c r="D25" t="str">
        <f>IF((COUNTIFS(MappingEditor!$A:$A,$A25,MappingEditor!$J:$J,"Y")+COUNTIFS(FallbackEditor!$A:$A,$A25,FallbackEditor!$J:$J,"Y"))&gt;0,"mapped","unmapped")</f>
        <v>mapped</v>
      </c>
    </row>
    <row r="26" spans="1:4" x14ac:dyDescent="0.2">
      <c r="A26" t="s">
        <v>377</v>
      </c>
      <c r="B26" t="s">
        <v>249</v>
      </c>
      <c r="C26" t="s">
        <v>16</v>
      </c>
      <c r="D26" t="str">
        <f>IF((COUNTIFS(MappingEditor!$A:$A,$A26,MappingEditor!$J:$J,"Y")+COUNTIFS(FallbackEditor!$A:$A,$A26,FallbackEditor!$J:$J,"Y"))&gt;0,"mapped","unmapped")</f>
        <v>mapped</v>
      </c>
    </row>
    <row r="27" spans="1:4" x14ac:dyDescent="0.2">
      <c r="A27" t="s">
        <v>378</v>
      </c>
      <c r="B27" t="s">
        <v>249</v>
      </c>
      <c r="C27" t="s">
        <v>16</v>
      </c>
      <c r="D27" t="str">
        <f>IF((COUNTIFS(MappingEditor!$A:$A,$A27,MappingEditor!$J:$J,"Y")+COUNTIFS(FallbackEditor!$A:$A,$A27,FallbackEditor!$J:$J,"Y"))&gt;0,"mapped","unmapped")</f>
        <v>mapped</v>
      </c>
    </row>
    <row r="28" spans="1:4" x14ac:dyDescent="0.2">
      <c r="A28" t="s">
        <v>380</v>
      </c>
      <c r="B28" t="s">
        <v>249</v>
      </c>
      <c r="C28" t="s">
        <v>381</v>
      </c>
      <c r="D28" t="str">
        <f>IF((COUNTIFS(MappingEditor!$A:$A,$A28,MappingEditor!$J:$J,"Y")+COUNTIFS(FallbackEditor!$A:$A,$A28,FallbackEditor!$J:$J,"Y"))&gt;0,"mapped","unmapped")</f>
        <v>mapped</v>
      </c>
    </row>
    <row r="29" spans="1:4" x14ac:dyDescent="0.2">
      <c r="A29" t="s">
        <v>382</v>
      </c>
      <c r="B29" t="s">
        <v>249</v>
      </c>
      <c r="C29" t="s">
        <v>16</v>
      </c>
      <c r="D29" t="str">
        <f>IF((COUNTIFS(MappingEditor!$A:$A,$A29,MappingEditor!$J:$J,"Y")+COUNTIFS(FallbackEditor!$A:$A,$A29,FallbackEditor!$J:$J,"Y"))&gt;0,"mapped","unmapped")</f>
        <v>mapped</v>
      </c>
    </row>
    <row r="30" spans="1:4" x14ac:dyDescent="0.2">
      <c r="A30" t="s">
        <v>142</v>
      </c>
      <c r="B30" t="s">
        <v>87</v>
      </c>
      <c r="C30" t="s">
        <v>16</v>
      </c>
      <c r="D30" t="str">
        <f>IF((COUNTIFS(MappingEditor!$A:$A,$A30,MappingEditor!$J:$J,"Y")+COUNTIFS(FallbackEditor!$A:$A,$A30,FallbackEditor!$J:$J,"Y"))&gt;0,"mapped","unmapped")</f>
        <v>mapped</v>
      </c>
    </row>
    <row r="31" spans="1:4" x14ac:dyDescent="0.2">
      <c r="A31" t="s">
        <v>383</v>
      </c>
      <c r="B31" t="s">
        <v>384</v>
      </c>
      <c r="C31" t="s">
        <v>385</v>
      </c>
      <c r="D31" t="str">
        <f>IF((COUNTIFS(MappingEditor!$A:$A,$A31,MappingEditor!$J:$J,"Y")+COUNTIFS(FallbackEditor!$A:$A,$A31,FallbackEditor!$J:$J,"Y"))&gt;0,"mapped","unmapped")</f>
        <v>mapped</v>
      </c>
    </row>
    <row r="32" spans="1:4" x14ac:dyDescent="0.2">
      <c r="A32" t="s">
        <v>386</v>
      </c>
      <c r="B32" t="s">
        <v>384</v>
      </c>
      <c r="C32" t="s">
        <v>385</v>
      </c>
      <c r="D32" t="str">
        <f>IF((COUNTIFS(MappingEditor!$A:$A,$A32,MappingEditor!$J:$J,"Y")+COUNTIFS(FallbackEditor!$A:$A,$A32,FallbackEditor!$J:$J,"Y"))&gt;0,"mapped","unmapped")</f>
        <v>mapped</v>
      </c>
    </row>
    <row r="33" spans="1:4" x14ac:dyDescent="0.2">
      <c r="A33" t="s">
        <v>119</v>
      </c>
      <c r="B33" t="s">
        <v>87</v>
      </c>
      <c r="C33" t="s">
        <v>120</v>
      </c>
      <c r="D33" t="str">
        <f>IF((COUNTIFS(MappingEditor!$A:$A,$A33,MappingEditor!$J:$J,"Y")+COUNTIFS(FallbackEditor!$A:$A,$A33,FallbackEditor!$J:$J,"Y"))&gt;0,"mapped","unmapped")</f>
        <v>mapped</v>
      </c>
    </row>
    <row r="34" spans="1:4" x14ac:dyDescent="0.2">
      <c r="A34" t="s">
        <v>149</v>
      </c>
      <c r="B34" t="s">
        <v>87</v>
      </c>
      <c r="C34" t="s">
        <v>146</v>
      </c>
      <c r="D34" t="str">
        <f>IF((COUNTIFS(MappingEditor!$A:$A,$A34,MappingEditor!$J:$J,"Y")+COUNTIFS(FallbackEditor!$A:$A,$A34,FallbackEditor!$J:$J,"Y"))&gt;0,"mapped","unmapped")</f>
        <v>mapped</v>
      </c>
    </row>
    <row r="35" spans="1:4" x14ac:dyDescent="0.2">
      <c r="A35" t="s">
        <v>387</v>
      </c>
      <c r="B35" t="s">
        <v>384</v>
      </c>
      <c r="C35" t="s">
        <v>388</v>
      </c>
      <c r="D35" t="str">
        <f>IF((COUNTIFS(MappingEditor!$A:$A,$A35,MappingEditor!$J:$J,"Y")+COUNTIFS(FallbackEditor!$A:$A,$A35,FallbackEditor!$J:$J,"Y"))&gt;0,"mapped","unmapped")</f>
        <v>mapped</v>
      </c>
    </row>
    <row r="36" spans="1:4" x14ac:dyDescent="0.2">
      <c r="A36" t="s">
        <v>389</v>
      </c>
      <c r="B36" t="s">
        <v>384</v>
      </c>
      <c r="C36" t="s">
        <v>388</v>
      </c>
      <c r="D36" t="str">
        <f>IF((COUNTIFS(MappingEditor!$A:$A,$A36,MappingEditor!$J:$J,"Y")+COUNTIFS(FallbackEditor!$A:$A,$A36,FallbackEditor!$J:$J,"Y"))&gt;0,"mapped","unmapped")</f>
        <v>mapped</v>
      </c>
    </row>
    <row r="37" spans="1:4" x14ac:dyDescent="0.2">
      <c r="A37" t="s">
        <v>390</v>
      </c>
      <c r="B37" t="s">
        <v>384</v>
      </c>
      <c r="C37" t="s">
        <v>388</v>
      </c>
      <c r="D37" t="str">
        <f>IF((COUNTIFS(MappingEditor!$A:$A,$A37,MappingEditor!$J:$J,"Y")+COUNTIFS(FallbackEditor!$A:$A,$A37,FallbackEditor!$J:$J,"Y"))&gt;0,"mapped","unmapped")</f>
        <v>mapped</v>
      </c>
    </row>
    <row r="38" spans="1:4" x14ac:dyDescent="0.2">
      <c r="A38" t="s">
        <v>187</v>
      </c>
      <c r="B38" t="s">
        <v>87</v>
      </c>
      <c r="C38" t="s">
        <v>182</v>
      </c>
      <c r="D38" t="str">
        <f>IF((COUNTIFS(MappingEditor!$A:$A,$A38,MappingEditor!$J:$J,"Y")+COUNTIFS(FallbackEditor!$A:$A,$A38,FallbackEditor!$J:$J,"Y"))&gt;0,"mapped","unmapped")</f>
        <v>mapped</v>
      </c>
    </row>
    <row r="39" spans="1:4" x14ac:dyDescent="0.2">
      <c r="A39" t="s">
        <v>391</v>
      </c>
      <c r="B39" t="s">
        <v>79</v>
      </c>
      <c r="C39" t="s">
        <v>80</v>
      </c>
      <c r="D39" t="str">
        <f>IF((COUNTIFS(MappingEditor!$A:$A,$A39,MappingEditor!$J:$J,"Y")+COUNTIFS(FallbackEditor!$A:$A,$A39,FallbackEditor!$J:$J,"Y"))&gt;0,"mapped","unmapped")</f>
        <v>mapped</v>
      </c>
    </row>
    <row r="40" spans="1:4" x14ac:dyDescent="0.2">
      <c r="A40" t="s">
        <v>392</v>
      </c>
      <c r="B40" t="s">
        <v>130</v>
      </c>
      <c r="C40" t="s">
        <v>393</v>
      </c>
      <c r="D40" t="str">
        <f>IF((COUNTIFS(MappingEditor!$A:$A,$A40,MappingEditor!$J:$J,"Y")+COUNTIFS(FallbackEditor!$A:$A,$A40,FallbackEditor!$J:$J,"Y"))&gt;0,"mapped","unmapped")</f>
        <v>mapped</v>
      </c>
    </row>
    <row r="41" spans="1:4" x14ac:dyDescent="0.2">
      <c r="A41" t="s">
        <v>394</v>
      </c>
      <c r="B41" t="s">
        <v>130</v>
      </c>
      <c r="C41" t="s">
        <v>393</v>
      </c>
      <c r="D41" t="str">
        <f>IF((COUNTIFS(MappingEditor!$A:$A,$A41,MappingEditor!$J:$J,"Y")+COUNTIFS(FallbackEditor!$A:$A,$A41,FallbackEditor!$J:$J,"Y"))&gt;0,"mapped","unmapped")</f>
        <v>mapped</v>
      </c>
    </row>
    <row r="42" spans="1:4" x14ac:dyDescent="0.2">
      <c r="A42" t="s">
        <v>395</v>
      </c>
      <c r="B42" t="s">
        <v>130</v>
      </c>
      <c r="C42" t="s">
        <v>393</v>
      </c>
      <c r="D42" t="str">
        <f>IF((COUNTIFS(MappingEditor!$A:$A,$A42,MappingEditor!$J:$J,"Y")+COUNTIFS(FallbackEditor!$A:$A,$A42,FallbackEditor!$J:$J,"Y"))&gt;0,"mapped","unmapped")</f>
        <v>mapped</v>
      </c>
    </row>
    <row r="43" spans="1:4" x14ac:dyDescent="0.2">
      <c r="A43" t="s">
        <v>396</v>
      </c>
      <c r="B43" t="s">
        <v>130</v>
      </c>
      <c r="C43" t="s">
        <v>393</v>
      </c>
      <c r="D43" t="str">
        <f>IF((COUNTIFS(MappingEditor!$A:$A,$A43,MappingEditor!$J:$J,"Y")+COUNTIFS(FallbackEditor!$A:$A,$A43,FallbackEditor!$J:$J,"Y"))&gt;0,"mapped","unmapped")</f>
        <v>mapped</v>
      </c>
    </row>
    <row r="44" spans="1:4" x14ac:dyDescent="0.2">
      <c r="A44" t="s">
        <v>397</v>
      </c>
      <c r="B44" t="s">
        <v>130</v>
      </c>
      <c r="C44" t="s">
        <v>393</v>
      </c>
      <c r="D44" t="str">
        <f>IF((COUNTIFS(MappingEditor!$A:$A,$A44,MappingEditor!$J:$J,"Y")+COUNTIFS(FallbackEditor!$A:$A,$A44,FallbackEditor!$J:$J,"Y"))&gt;0,"mapped","unmapped")</f>
        <v>mapped</v>
      </c>
    </row>
    <row r="45" spans="1:4" x14ac:dyDescent="0.2">
      <c r="A45" t="s">
        <v>398</v>
      </c>
      <c r="B45" t="s">
        <v>130</v>
      </c>
      <c r="C45" t="s">
        <v>393</v>
      </c>
      <c r="D45" t="str">
        <f>IF((COUNTIFS(MappingEditor!$A:$A,$A45,MappingEditor!$J:$J,"Y")+COUNTIFS(FallbackEditor!$A:$A,$A45,FallbackEditor!$J:$J,"Y"))&gt;0,"mapped","unmapped")</f>
        <v>mapped</v>
      </c>
    </row>
    <row r="46" spans="1:4" x14ac:dyDescent="0.2">
      <c r="A46" t="s">
        <v>399</v>
      </c>
      <c r="B46" t="s">
        <v>130</v>
      </c>
      <c r="C46" t="s">
        <v>393</v>
      </c>
      <c r="D46" t="str">
        <f>IF((COUNTIFS(MappingEditor!$A:$A,$A46,MappingEditor!$J:$J,"Y")+COUNTIFS(FallbackEditor!$A:$A,$A46,FallbackEditor!$J:$J,"Y"))&gt;0,"mapped","unmapped")</f>
        <v>mapped</v>
      </c>
    </row>
    <row r="47" spans="1:4" x14ac:dyDescent="0.2">
      <c r="A47" t="s">
        <v>400</v>
      </c>
      <c r="B47" t="s">
        <v>130</v>
      </c>
      <c r="C47" t="s">
        <v>393</v>
      </c>
      <c r="D47" t="str">
        <f>IF((COUNTIFS(MappingEditor!$A:$A,$A47,MappingEditor!$J:$J,"Y")+COUNTIFS(FallbackEditor!$A:$A,$A47,FallbackEditor!$J:$J,"Y"))&gt;0,"mapped","unmapped")</f>
        <v>mapped</v>
      </c>
    </row>
    <row r="48" spans="1:4" x14ac:dyDescent="0.2">
      <c r="A48" t="s">
        <v>100</v>
      </c>
      <c r="B48" t="s">
        <v>87</v>
      </c>
      <c r="C48" t="s">
        <v>80</v>
      </c>
      <c r="D48" t="str">
        <f>IF((COUNTIFS(MappingEditor!$A:$A,$A48,MappingEditor!$J:$J,"Y")+COUNTIFS(FallbackEditor!$A:$A,$A48,FallbackEditor!$J:$J,"Y"))&gt;0,"mapped","unmapped")</f>
        <v>mapped</v>
      </c>
    </row>
    <row r="49" spans="1:4" x14ac:dyDescent="0.2">
      <c r="A49" t="s">
        <v>327</v>
      </c>
      <c r="B49" t="s">
        <v>87</v>
      </c>
      <c r="C49" t="s">
        <v>314</v>
      </c>
      <c r="D49" t="str">
        <f>IF((COUNTIFS(MappingEditor!$A:$A,$A49,MappingEditor!$J:$J,"Y")+COUNTIFS(FallbackEditor!$A:$A,$A49,FallbackEditor!$J:$J,"Y"))&gt;0,"mapped","unmapped")</f>
        <v>mapped</v>
      </c>
    </row>
    <row r="50" spans="1:4" x14ac:dyDescent="0.2">
      <c r="A50" t="s">
        <v>401</v>
      </c>
      <c r="B50" t="s">
        <v>130</v>
      </c>
      <c r="C50" t="s">
        <v>356</v>
      </c>
      <c r="D50" t="str">
        <f>IF((COUNTIFS(MappingEditor!$A:$A,$A50,MappingEditor!$J:$J,"Y")+COUNTIFS(FallbackEditor!$A:$A,$A50,FallbackEditor!$J:$J,"Y"))&gt;0,"mapped","unmapped")</f>
        <v>mapped</v>
      </c>
    </row>
    <row r="51" spans="1:4" x14ac:dyDescent="0.2">
      <c r="A51" t="s">
        <v>319</v>
      </c>
      <c r="B51" t="s">
        <v>87</v>
      </c>
      <c r="C51" t="s">
        <v>314</v>
      </c>
      <c r="D51" t="str">
        <f>IF((COUNTIFS(MappingEditor!$A:$A,$A51,MappingEditor!$J:$J,"Y")+COUNTIFS(FallbackEditor!$A:$A,$A51,FallbackEditor!$J:$J,"Y"))&gt;0,"mapped","unmapped")</f>
        <v>mapped</v>
      </c>
    </row>
    <row r="52" spans="1:4" x14ac:dyDescent="0.2">
      <c r="A52" t="s">
        <v>402</v>
      </c>
      <c r="B52" t="s">
        <v>130</v>
      </c>
      <c r="C52" t="s">
        <v>356</v>
      </c>
      <c r="D52" t="str">
        <f>IF((COUNTIFS(MappingEditor!$A:$A,$A52,MappingEditor!$J:$J,"Y")+COUNTIFS(FallbackEditor!$A:$A,$A52,FallbackEditor!$J:$J,"Y"))&gt;0,"mapped","unmapped")</f>
        <v>mapped</v>
      </c>
    </row>
    <row r="53" spans="1:4" x14ac:dyDescent="0.2">
      <c r="A53" t="s">
        <v>403</v>
      </c>
      <c r="B53" t="s">
        <v>87</v>
      </c>
      <c r="C53" t="s">
        <v>314</v>
      </c>
      <c r="D53" t="str">
        <f>IF((COUNTIFS(MappingEditor!$A:$A,$A53,MappingEditor!$J:$J,"Y")+COUNTIFS(FallbackEditor!$A:$A,$A53,FallbackEditor!$J:$J,"Y"))&gt;0,"mapped","unmapped")</f>
        <v>mapped</v>
      </c>
    </row>
    <row r="54" spans="1:4" x14ac:dyDescent="0.2">
      <c r="A54" t="s">
        <v>323</v>
      </c>
      <c r="B54" t="s">
        <v>87</v>
      </c>
      <c r="C54" t="s">
        <v>314</v>
      </c>
      <c r="D54" t="str">
        <f>IF((COUNTIFS(MappingEditor!$A:$A,$A54,MappingEditor!$J:$J,"Y")+COUNTIFS(FallbackEditor!$A:$A,$A54,FallbackEditor!$J:$J,"Y"))&gt;0,"mapped","unmapped")</f>
        <v>mapped</v>
      </c>
    </row>
    <row r="55" spans="1:4" x14ac:dyDescent="0.2">
      <c r="A55" t="s">
        <v>404</v>
      </c>
      <c r="B55" t="s">
        <v>87</v>
      </c>
      <c r="C55" t="s">
        <v>314</v>
      </c>
      <c r="D55" t="str">
        <f>IF((COUNTIFS(MappingEditor!$A:$A,$A55,MappingEditor!$J:$J,"Y")+COUNTIFS(FallbackEditor!$A:$A,$A55,FallbackEditor!$J:$J,"Y"))&gt;0,"mapped","unmapped")</f>
        <v>mapped</v>
      </c>
    </row>
    <row r="56" spans="1:4" x14ac:dyDescent="0.2">
      <c r="A56" t="s">
        <v>405</v>
      </c>
      <c r="B56" t="s">
        <v>87</v>
      </c>
      <c r="C56" t="s">
        <v>314</v>
      </c>
      <c r="D56" t="str">
        <f>IF((COUNTIFS(MappingEditor!$A:$A,$A56,MappingEditor!$J:$J,"Y")+COUNTIFS(FallbackEditor!$A:$A,$A56,FallbackEditor!$J:$J,"Y"))&gt;0,"mapped","unmapped")</f>
        <v>mapped</v>
      </c>
    </row>
    <row r="57" spans="1:4" x14ac:dyDescent="0.2">
      <c r="A57" t="s">
        <v>406</v>
      </c>
      <c r="B57" t="s">
        <v>87</v>
      </c>
      <c r="C57" t="s">
        <v>314</v>
      </c>
      <c r="D57" t="str">
        <f>IF((COUNTIFS(MappingEditor!$A:$A,$A57,MappingEditor!$J:$J,"Y")+COUNTIFS(FallbackEditor!$A:$A,$A57,FallbackEditor!$J:$J,"Y"))&gt;0,"mapped","unmapped")</f>
        <v>mapped</v>
      </c>
    </row>
    <row r="58" spans="1:4" x14ac:dyDescent="0.2">
      <c r="A58" t="s">
        <v>407</v>
      </c>
      <c r="B58" t="s">
        <v>87</v>
      </c>
      <c r="C58" t="s">
        <v>314</v>
      </c>
      <c r="D58" t="str">
        <f>IF((COUNTIFS(MappingEditor!$A:$A,$A58,MappingEditor!$J:$J,"Y")+COUNTIFS(FallbackEditor!$A:$A,$A58,FallbackEditor!$J:$J,"Y"))&gt;0,"mapped","unmapped")</f>
        <v>mapped</v>
      </c>
    </row>
    <row r="59" spans="1:4" x14ac:dyDescent="0.2">
      <c r="A59" t="s">
        <v>408</v>
      </c>
      <c r="B59" t="s">
        <v>87</v>
      </c>
      <c r="C59" t="s">
        <v>314</v>
      </c>
      <c r="D59" t="str">
        <f>IF((COUNTIFS(MappingEditor!$A:$A,$A59,MappingEditor!$J:$J,"Y")+COUNTIFS(FallbackEditor!$A:$A,$A59,FallbackEditor!$J:$J,"Y"))&gt;0,"mapped","unmapped")</f>
        <v>mapped</v>
      </c>
    </row>
    <row r="60" spans="1:4" x14ac:dyDescent="0.2">
      <c r="A60" t="s">
        <v>409</v>
      </c>
      <c r="B60" t="s">
        <v>87</v>
      </c>
      <c r="C60" t="s">
        <v>314</v>
      </c>
      <c r="D60" t="str">
        <f>IF((COUNTIFS(MappingEditor!$A:$A,$A60,MappingEditor!$J:$J,"Y")+COUNTIFS(FallbackEditor!$A:$A,$A60,FallbackEditor!$J:$J,"Y"))&gt;0,"mapped","unmapped")</f>
        <v>mapped</v>
      </c>
    </row>
    <row r="61" spans="1:4" x14ac:dyDescent="0.2">
      <c r="A61" t="s">
        <v>410</v>
      </c>
      <c r="B61" t="s">
        <v>87</v>
      </c>
      <c r="C61" t="s">
        <v>314</v>
      </c>
      <c r="D61" t="str">
        <f>IF((COUNTIFS(MappingEditor!$A:$A,$A61,MappingEditor!$J:$J,"Y")+COUNTIFS(FallbackEditor!$A:$A,$A61,FallbackEditor!$J:$J,"Y"))&gt;0,"mapped","unmapped")</f>
        <v>mapped</v>
      </c>
    </row>
    <row r="62" spans="1:4" x14ac:dyDescent="0.2">
      <c r="A62" t="s">
        <v>313</v>
      </c>
      <c r="B62" t="s">
        <v>87</v>
      </c>
      <c r="C62" t="s">
        <v>314</v>
      </c>
      <c r="D62" t="str">
        <f>IF((COUNTIFS(MappingEditor!$A:$A,$A62,MappingEditor!$J:$J,"Y")+COUNTIFS(FallbackEditor!$A:$A,$A62,FallbackEditor!$J:$J,"Y"))&gt;0,"mapped","unmapped")</f>
        <v>mapped</v>
      </c>
    </row>
    <row r="63" spans="1:4" x14ac:dyDescent="0.2">
      <c r="A63" t="s">
        <v>330</v>
      </c>
      <c r="B63" t="s">
        <v>87</v>
      </c>
      <c r="C63" t="s">
        <v>314</v>
      </c>
      <c r="D63" t="str">
        <f>IF((COUNTIFS(MappingEditor!$A:$A,$A63,MappingEditor!$J:$J,"Y")+COUNTIFS(FallbackEditor!$A:$A,$A63,FallbackEditor!$J:$J,"Y"))&gt;0,"mapped","unmapped")</f>
        <v>mapped</v>
      </c>
    </row>
    <row r="64" spans="1:4" x14ac:dyDescent="0.2">
      <c r="A64" t="s">
        <v>333</v>
      </c>
      <c r="B64" t="s">
        <v>87</v>
      </c>
      <c r="C64" t="s">
        <v>314</v>
      </c>
      <c r="D64" t="str">
        <f>IF((COUNTIFS(MappingEditor!$A:$A,$A64,MappingEditor!$J:$J,"Y")+COUNTIFS(FallbackEditor!$A:$A,$A64,FallbackEditor!$J:$J,"Y"))&gt;0,"mapped","unmapped")</f>
        <v>mapped</v>
      </c>
    </row>
    <row r="65" spans="1:4" x14ac:dyDescent="0.2">
      <c r="A65" t="s">
        <v>411</v>
      </c>
      <c r="B65" t="s">
        <v>130</v>
      </c>
      <c r="C65" t="s">
        <v>356</v>
      </c>
      <c r="D65" t="str">
        <f>IF((COUNTIFS(MappingEditor!$A:$A,$A65,MappingEditor!$J:$J,"Y")+COUNTIFS(FallbackEditor!$A:$A,$A65,FallbackEditor!$J:$J,"Y"))&gt;0,"mapped","unmapped")</f>
        <v>mapped</v>
      </c>
    </row>
    <row r="66" spans="1:4" x14ac:dyDescent="0.2">
      <c r="A66" t="s">
        <v>325</v>
      </c>
      <c r="B66" t="s">
        <v>87</v>
      </c>
      <c r="C66" t="s">
        <v>314</v>
      </c>
      <c r="D66" t="str">
        <f>IF((COUNTIFS(MappingEditor!$A:$A,$A66,MappingEditor!$J:$J,"Y")+COUNTIFS(FallbackEditor!$A:$A,$A66,FallbackEditor!$J:$J,"Y"))&gt;0,"mapped","unmapped")</f>
        <v>mapped</v>
      </c>
    </row>
    <row r="67" spans="1:4" x14ac:dyDescent="0.2">
      <c r="A67" t="s">
        <v>412</v>
      </c>
      <c r="B67" t="s">
        <v>87</v>
      </c>
      <c r="C67" t="s">
        <v>314</v>
      </c>
      <c r="D67" t="str">
        <f>IF((COUNTIFS(MappingEditor!$A:$A,$A67,MappingEditor!$J:$J,"Y")+COUNTIFS(FallbackEditor!$A:$A,$A67,FallbackEditor!$J:$J,"Y"))&gt;0,"mapped","unmapped")</f>
        <v>mapped</v>
      </c>
    </row>
    <row r="68" spans="1:4" x14ac:dyDescent="0.2">
      <c r="A68" t="s">
        <v>413</v>
      </c>
      <c r="B68" t="s">
        <v>87</v>
      </c>
      <c r="C68" t="s">
        <v>314</v>
      </c>
      <c r="D68" t="str">
        <f>IF((COUNTIFS(MappingEditor!$A:$A,$A68,MappingEditor!$J:$J,"Y")+COUNTIFS(FallbackEditor!$A:$A,$A68,FallbackEditor!$J:$J,"Y"))&gt;0,"mapped","unmapped")</f>
        <v>mapped</v>
      </c>
    </row>
    <row r="69" spans="1:4" x14ac:dyDescent="0.2">
      <c r="A69" t="s">
        <v>414</v>
      </c>
      <c r="B69" t="s">
        <v>87</v>
      </c>
      <c r="C69" t="s">
        <v>314</v>
      </c>
      <c r="D69" t="str">
        <f>IF((COUNTIFS(MappingEditor!$A:$A,$A69,MappingEditor!$J:$J,"Y")+COUNTIFS(FallbackEditor!$A:$A,$A69,FallbackEditor!$J:$J,"Y"))&gt;0,"mapped","unmapped")</f>
        <v>mapped</v>
      </c>
    </row>
    <row r="70" spans="1:4" x14ac:dyDescent="0.2">
      <c r="A70" t="s">
        <v>332</v>
      </c>
      <c r="B70" t="s">
        <v>87</v>
      </c>
      <c r="C70" t="s">
        <v>314</v>
      </c>
      <c r="D70" t="str">
        <f>IF((COUNTIFS(MappingEditor!$A:$A,$A70,MappingEditor!$J:$J,"Y")+COUNTIFS(FallbackEditor!$A:$A,$A70,FallbackEditor!$J:$J,"Y"))&gt;0,"mapped","unmapped")</f>
        <v>mapped</v>
      </c>
    </row>
    <row r="71" spans="1:4" x14ac:dyDescent="0.2">
      <c r="A71" t="s">
        <v>415</v>
      </c>
      <c r="B71" t="s">
        <v>87</v>
      </c>
      <c r="C71" t="s">
        <v>314</v>
      </c>
      <c r="D71" t="str">
        <f>IF((COUNTIFS(MappingEditor!$A:$A,$A71,MappingEditor!$J:$J,"Y")+COUNTIFS(FallbackEditor!$A:$A,$A71,FallbackEditor!$J:$J,"Y"))&gt;0,"mapped","unmapped")</f>
        <v>mapped</v>
      </c>
    </row>
    <row r="72" spans="1:4" x14ac:dyDescent="0.2">
      <c r="A72" t="s">
        <v>416</v>
      </c>
      <c r="B72" t="s">
        <v>87</v>
      </c>
      <c r="C72" t="s">
        <v>314</v>
      </c>
      <c r="D72" t="str">
        <f>IF((COUNTIFS(MappingEditor!$A:$A,$A72,MappingEditor!$J:$J,"Y")+COUNTIFS(FallbackEditor!$A:$A,$A72,FallbackEditor!$J:$J,"Y"))&gt;0,"mapped","unmapped")</f>
        <v>mapped</v>
      </c>
    </row>
    <row r="73" spans="1:4" x14ac:dyDescent="0.2">
      <c r="A73" t="s">
        <v>417</v>
      </c>
      <c r="B73" t="s">
        <v>87</v>
      </c>
      <c r="C73" t="s">
        <v>314</v>
      </c>
      <c r="D73" t="str">
        <f>IF((COUNTIFS(MappingEditor!$A:$A,$A73,MappingEditor!$J:$J,"Y")+COUNTIFS(FallbackEditor!$A:$A,$A73,FallbackEditor!$J:$J,"Y"))&gt;0,"mapped","unmapped")</f>
        <v>mapped</v>
      </c>
    </row>
    <row r="74" spans="1:4" x14ac:dyDescent="0.2">
      <c r="A74" t="s">
        <v>418</v>
      </c>
      <c r="B74" t="s">
        <v>79</v>
      </c>
      <c r="C74" t="s">
        <v>80</v>
      </c>
      <c r="D74" t="str">
        <f>IF((COUNTIFS(MappingEditor!$A:$A,$A74,MappingEditor!$J:$J,"Y")+COUNTIFS(FallbackEditor!$A:$A,$A74,FallbackEditor!$J:$J,"Y"))&gt;0,"mapped","unmapped")</f>
        <v>mapped</v>
      </c>
    </row>
    <row r="75" spans="1:4" x14ac:dyDescent="0.2">
      <c r="A75" t="s">
        <v>419</v>
      </c>
      <c r="B75" t="s">
        <v>87</v>
      </c>
      <c r="C75" t="s">
        <v>314</v>
      </c>
      <c r="D75" t="str">
        <f>IF((COUNTIFS(MappingEditor!$A:$A,$A75,MappingEditor!$J:$J,"Y")+COUNTIFS(FallbackEditor!$A:$A,$A75,FallbackEditor!$J:$J,"Y"))&gt;0,"mapped","unmapped")</f>
        <v>mapped</v>
      </c>
    </row>
    <row r="76" spans="1:4" x14ac:dyDescent="0.2">
      <c r="A76" t="s">
        <v>420</v>
      </c>
      <c r="B76" t="s">
        <v>87</v>
      </c>
      <c r="C76" t="s">
        <v>314</v>
      </c>
      <c r="D76" t="str">
        <f>IF((COUNTIFS(MappingEditor!$A:$A,$A76,MappingEditor!$J:$J,"Y")+COUNTIFS(FallbackEditor!$A:$A,$A76,FallbackEditor!$J:$J,"Y"))&gt;0,"mapped","unmapped")</f>
        <v>mapped</v>
      </c>
    </row>
    <row r="77" spans="1:4" x14ac:dyDescent="0.2">
      <c r="A77" t="s">
        <v>421</v>
      </c>
      <c r="B77" t="s">
        <v>130</v>
      </c>
      <c r="C77" t="s">
        <v>356</v>
      </c>
      <c r="D77" t="str">
        <f>IF((COUNTIFS(MappingEditor!$A:$A,$A77,MappingEditor!$J:$J,"Y")+COUNTIFS(FallbackEditor!$A:$A,$A77,FallbackEditor!$J:$J,"Y"))&gt;0,"mapped","unmapped")</f>
        <v>mapped</v>
      </c>
    </row>
    <row r="78" spans="1:4" x14ac:dyDescent="0.2">
      <c r="A78" t="s">
        <v>422</v>
      </c>
      <c r="B78" t="s">
        <v>130</v>
      </c>
      <c r="C78" t="s">
        <v>356</v>
      </c>
      <c r="D78" t="str">
        <f>IF((COUNTIFS(MappingEditor!$A:$A,$A78,MappingEditor!$J:$J,"Y")+COUNTIFS(FallbackEditor!$A:$A,$A78,FallbackEditor!$J:$J,"Y"))&gt;0,"mapped","unmapped")</f>
        <v>mapped</v>
      </c>
    </row>
    <row r="79" spans="1:4" x14ac:dyDescent="0.2">
      <c r="A79" t="s">
        <v>321</v>
      </c>
      <c r="B79" t="s">
        <v>87</v>
      </c>
      <c r="C79" t="s">
        <v>314</v>
      </c>
      <c r="D79" t="str">
        <f>IF((COUNTIFS(MappingEditor!$A:$A,$A79,MappingEditor!$J:$J,"Y")+COUNTIFS(FallbackEditor!$A:$A,$A79,FallbackEditor!$J:$J,"Y"))&gt;0,"mapped","unmapped")</f>
        <v>mapped</v>
      </c>
    </row>
    <row r="80" spans="1:4" x14ac:dyDescent="0.2">
      <c r="A80" t="s">
        <v>317</v>
      </c>
      <c r="B80" t="s">
        <v>87</v>
      </c>
      <c r="C80" t="s">
        <v>314</v>
      </c>
      <c r="D80" t="str">
        <f>IF((COUNTIFS(MappingEditor!$A:$A,$A80,MappingEditor!$J:$J,"Y")+COUNTIFS(FallbackEditor!$A:$A,$A80,FallbackEditor!$J:$J,"Y"))&gt;0,"mapped","unmapped")</f>
        <v>mapped</v>
      </c>
    </row>
    <row r="81" spans="1:4" x14ac:dyDescent="0.2">
      <c r="A81" t="s">
        <v>423</v>
      </c>
      <c r="B81" t="s">
        <v>87</v>
      </c>
      <c r="C81" t="s">
        <v>314</v>
      </c>
      <c r="D81" t="str">
        <f>IF((COUNTIFS(MappingEditor!$A:$A,$A81,MappingEditor!$J:$J,"Y")+COUNTIFS(FallbackEditor!$A:$A,$A81,FallbackEditor!$J:$J,"Y"))&gt;0,"mapped","unmapped")</f>
        <v>mapped</v>
      </c>
    </row>
    <row r="82" spans="1:4" x14ac:dyDescent="0.2">
      <c r="A82" t="s">
        <v>424</v>
      </c>
      <c r="B82" t="s">
        <v>87</v>
      </c>
      <c r="C82" t="s">
        <v>314</v>
      </c>
      <c r="D82" t="str">
        <f>IF((COUNTIFS(MappingEditor!$A:$A,$A82,MappingEditor!$J:$J,"Y")+COUNTIFS(FallbackEditor!$A:$A,$A82,FallbackEditor!$J:$J,"Y"))&gt;0,"mapped","unmapped")</f>
        <v>mapped</v>
      </c>
    </row>
    <row r="83" spans="1:4" x14ac:dyDescent="0.2">
      <c r="A83" t="s">
        <v>425</v>
      </c>
      <c r="B83" t="s">
        <v>79</v>
      </c>
      <c r="C83" t="s">
        <v>80</v>
      </c>
      <c r="D83" t="str">
        <f>IF((COUNTIFS(MappingEditor!$A:$A,$A83,MappingEditor!$J:$J,"Y")+COUNTIFS(FallbackEditor!$A:$A,$A83,FallbackEditor!$J:$J,"Y"))&gt;0,"mapped","unmapped")</f>
        <v>mapped</v>
      </c>
    </row>
    <row r="84" spans="1:4" x14ac:dyDescent="0.2">
      <c r="A84" t="s">
        <v>426</v>
      </c>
      <c r="B84" t="s">
        <v>384</v>
      </c>
      <c r="C84" t="s">
        <v>388</v>
      </c>
      <c r="D84" t="str">
        <f>IF((COUNTIFS(MappingEditor!$A:$A,$A84,MappingEditor!$J:$J,"Y")+COUNTIFS(FallbackEditor!$A:$A,$A84,FallbackEditor!$J:$J,"Y"))&gt;0,"mapped","unmapped")</f>
        <v>mapped</v>
      </c>
    </row>
    <row r="85" spans="1:4" x14ac:dyDescent="0.2">
      <c r="A85" t="s">
        <v>427</v>
      </c>
      <c r="B85" t="s">
        <v>384</v>
      </c>
      <c r="C85" t="s">
        <v>388</v>
      </c>
      <c r="D85" t="str">
        <f>IF((COUNTIFS(MappingEditor!$A:$A,$A85,MappingEditor!$J:$J,"Y")+COUNTIFS(FallbackEditor!$A:$A,$A85,FallbackEditor!$J:$J,"Y"))&gt;0,"mapped","unmapped")</f>
        <v>mapped</v>
      </c>
    </row>
    <row r="86" spans="1:4" x14ac:dyDescent="0.2">
      <c r="A86" t="s">
        <v>428</v>
      </c>
      <c r="B86" t="s">
        <v>384</v>
      </c>
      <c r="C86" t="s">
        <v>388</v>
      </c>
      <c r="D86" t="str">
        <f>IF((COUNTIFS(MappingEditor!$A:$A,$A86,MappingEditor!$J:$J,"Y")+COUNTIFS(FallbackEditor!$A:$A,$A86,FallbackEditor!$J:$J,"Y"))&gt;0,"mapped","unmapped")</f>
        <v>mapped</v>
      </c>
    </row>
    <row r="87" spans="1:4" x14ac:dyDescent="0.2">
      <c r="A87" t="s">
        <v>429</v>
      </c>
      <c r="B87" t="s">
        <v>87</v>
      </c>
      <c r="C87" t="s">
        <v>182</v>
      </c>
      <c r="D87" t="str">
        <f>IF((COUNTIFS(MappingEditor!$A:$A,$A87,MappingEditor!$J:$J,"Y")+COUNTIFS(FallbackEditor!$A:$A,$A87,FallbackEditor!$J:$J,"Y"))&gt;0,"mapped","unmapped")</f>
        <v>mapped</v>
      </c>
    </row>
    <row r="88" spans="1:4" x14ac:dyDescent="0.2">
      <c r="A88" t="s">
        <v>184</v>
      </c>
      <c r="B88" t="s">
        <v>87</v>
      </c>
      <c r="C88" t="s">
        <v>182</v>
      </c>
      <c r="D88" t="str">
        <f>IF((COUNTIFS(MappingEditor!$A:$A,$A88,MappingEditor!$J:$J,"Y")+COUNTIFS(FallbackEditor!$A:$A,$A88,FallbackEditor!$J:$J,"Y"))&gt;0,"mapped","unmapped")</f>
        <v>mapped</v>
      </c>
    </row>
    <row r="89" spans="1:4" x14ac:dyDescent="0.2">
      <c r="A89" t="s">
        <v>430</v>
      </c>
      <c r="B89" t="s">
        <v>40</v>
      </c>
      <c r="C89" t="s">
        <v>16</v>
      </c>
      <c r="D89" t="str">
        <f>IF((COUNTIFS(MappingEditor!$A:$A,$A89,MappingEditor!$J:$J,"Y")+COUNTIFS(FallbackEditor!$A:$A,$A89,FallbackEditor!$J:$J,"Y"))&gt;0,"mapped","unmapped")</f>
        <v>mapped</v>
      </c>
    </row>
    <row r="90" spans="1:4" x14ac:dyDescent="0.2">
      <c r="A90" t="s">
        <v>431</v>
      </c>
      <c r="B90" t="s">
        <v>87</v>
      </c>
      <c r="C90" t="s">
        <v>432</v>
      </c>
      <c r="D90" t="str">
        <f>IF((COUNTIFS(MappingEditor!$A:$A,$A90,MappingEditor!$J:$J,"Y")+COUNTIFS(FallbackEditor!$A:$A,$A90,FallbackEditor!$J:$J,"Y"))&gt;0,"mapped","unmapped")</f>
        <v>mapped</v>
      </c>
    </row>
    <row r="91" spans="1:4" x14ac:dyDescent="0.2">
      <c r="A91" t="s">
        <v>433</v>
      </c>
      <c r="B91" t="s">
        <v>87</v>
      </c>
      <c r="C91" t="s">
        <v>432</v>
      </c>
      <c r="D91" t="str">
        <f>IF((COUNTIFS(MappingEditor!$A:$A,$A91,MappingEditor!$J:$J,"Y")+COUNTIFS(FallbackEditor!$A:$A,$A91,FallbackEditor!$J:$J,"Y"))&gt;0,"mapped","unmapped")</f>
        <v>mapped</v>
      </c>
    </row>
    <row r="92" spans="1:4" x14ac:dyDescent="0.2">
      <c r="A92" t="s">
        <v>434</v>
      </c>
      <c r="B92" t="s">
        <v>79</v>
      </c>
      <c r="C92" t="s">
        <v>16</v>
      </c>
      <c r="D92" t="str">
        <f>IF((COUNTIFS(MappingEditor!$A:$A,$A92,MappingEditor!$J:$J,"Y")+COUNTIFS(FallbackEditor!$A:$A,$A92,FallbackEditor!$J:$J,"Y"))&gt;0,"mapped","unmapped")</f>
        <v>mapped</v>
      </c>
    </row>
    <row r="93" spans="1:4" x14ac:dyDescent="0.2">
      <c r="A93" t="s">
        <v>39</v>
      </c>
      <c r="B93" t="s">
        <v>40</v>
      </c>
      <c r="C93" t="s">
        <v>16</v>
      </c>
      <c r="D93" t="str">
        <f>IF((COUNTIFS(MappingEditor!$A:$A,$A93,MappingEditor!$J:$J,"Y")+COUNTIFS(FallbackEditor!$A:$A,$A93,FallbackEditor!$J:$J,"Y"))&gt;0,"mapped","unmapped")</f>
        <v>mapped</v>
      </c>
    </row>
    <row r="94" spans="1:4" x14ac:dyDescent="0.2">
      <c r="A94" t="s">
        <v>435</v>
      </c>
      <c r="B94" t="s">
        <v>79</v>
      </c>
      <c r="C94" t="s">
        <v>80</v>
      </c>
      <c r="D94" t="str">
        <f>IF((COUNTIFS(MappingEditor!$A:$A,$A94,MappingEditor!$J:$J,"Y")+COUNTIFS(FallbackEditor!$A:$A,$A94,FallbackEditor!$J:$J,"Y"))&gt;0,"mapped","unmapped")</f>
        <v>mapped</v>
      </c>
    </row>
    <row r="95" spans="1:4" x14ac:dyDescent="0.2">
      <c r="A95" t="s">
        <v>436</v>
      </c>
      <c r="B95" t="s">
        <v>79</v>
      </c>
      <c r="C95" t="s">
        <v>80</v>
      </c>
      <c r="D95" t="str">
        <f>IF((COUNTIFS(MappingEditor!$A:$A,$A95,MappingEditor!$J:$J,"Y")+COUNTIFS(FallbackEditor!$A:$A,$A95,FallbackEditor!$J:$J,"Y"))&gt;0,"mapped","unmapped")</f>
        <v>mapped</v>
      </c>
    </row>
    <row r="96" spans="1:4" x14ac:dyDescent="0.2">
      <c r="A96" t="s">
        <v>437</v>
      </c>
      <c r="B96" t="s">
        <v>79</v>
      </c>
      <c r="C96" t="s">
        <v>80</v>
      </c>
      <c r="D96" t="str">
        <f>IF((COUNTIFS(MappingEditor!$A:$A,$A96,MappingEditor!$J:$J,"Y")+COUNTIFS(FallbackEditor!$A:$A,$A96,FallbackEditor!$J:$J,"Y"))&gt;0,"mapped","unmapped")</f>
        <v>mapped</v>
      </c>
    </row>
    <row r="97" spans="1:4" x14ac:dyDescent="0.2">
      <c r="A97" t="s">
        <v>438</v>
      </c>
      <c r="B97" t="s">
        <v>87</v>
      </c>
      <c r="C97" t="s">
        <v>16</v>
      </c>
      <c r="D97" t="str">
        <f>IF((COUNTIFS(MappingEditor!$A:$A,$A97,MappingEditor!$J:$J,"Y")+COUNTIFS(FallbackEditor!$A:$A,$A97,FallbackEditor!$J:$J,"Y"))&gt;0,"mapped","unmapped")</f>
        <v>mapped</v>
      </c>
    </row>
    <row r="98" spans="1:4" x14ac:dyDescent="0.2">
      <c r="A98" t="s">
        <v>439</v>
      </c>
      <c r="B98" t="s">
        <v>87</v>
      </c>
      <c r="C98" t="s">
        <v>440</v>
      </c>
      <c r="D98" t="str">
        <f>IF((COUNTIFS(MappingEditor!$A:$A,$A98,MappingEditor!$J:$J,"Y")+COUNTIFS(FallbackEditor!$A:$A,$A98,FallbackEditor!$J:$J,"Y"))&gt;0,"mapped","unmapped")</f>
        <v>mapped</v>
      </c>
    </row>
    <row r="99" spans="1:4" x14ac:dyDescent="0.2">
      <c r="A99" t="s">
        <v>48</v>
      </c>
      <c r="B99" t="s">
        <v>15</v>
      </c>
      <c r="C99" t="s">
        <v>49</v>
      </c>
      <c r="D99" t="str">
        <f>IF((COUNTIFS(MappingEditor!$A:$A,$A99,MappingEditor!$J:$J,"Y")+COUNTIFS(FallbackEditor!$A:$A,$A99,FallbackEditor!$J:$J,"Y"))&gt;0,"mapped","unmapped")</f>
        <v>mapped</v>
      </c>
    </row>
    <row r="100" spans="1:4" x14ac:dyDescent="0.2">
      <c r="A100" t="s">
        <v>441</v>
      </c>
      <c r="B100" t="s">
        <v>79</v>
      </c>
      <c r="C100" t="s">
        <v>80</v>
      </c>
      <c r="D100" t="str">
        <f>IF((COUNTIFS(MappingEditor!$A:$A,$A100,MappingEditor!$J:$J,"Y")+COUNTIFS(FallbackEditor!$A:$A,$A100,FallbackEditor!$J:$J,"Y"))&gt;0,"mapped","unmapped")</f>
        <v>mapped</v>
      </c>
    </row>
    <row r="101" spans="1:4" x14ac:dyDescent="0.2">
      <c r="A101" t="s">
        <v>442</v>
      </c>
      <c r="B101" t="s">
        <v>130</v>
      </c>
      <c r="C101" t="s">
        <v>443</v>
      </c>
      <c r="D101" t="str">
        <f>IF((COUNTIFS(MappingEditor!$A:$A,$A101,MappingEditor!$J:$J,"Y")+COUNTIFS(FallbackEditor!$A:$A,$A101,FallbackEditor!$J:$J,"Y"))&gt;0,"mapped","unmapped")</f>
        <v>mapped</v>
      </c>
    </row>
    <row r="102" spans="1:4" x14ac:dyDescent="0.2">
      <c r="A102" t="s">
        <v>444</v>
      </c>
      <c r="B102" t="s">
        <v>15</v>
      </c>
      <c r="C102" t="s">
        <v>54</v>
      </c>
      <c r="D102" t="str">
        <f>IF((COUNTIFS(MappingEditor!$A:$A,$A102,MappingEditor!$J:$J,"Y")+COUNTIFS(FallbackEditor!$A:$A,$A102,FallbackEditor!$J:$J,"Y"))&gt;0,"mapped","unmapped")</f>
        <v>mapped</v>
      </c>
    </row>
    <row r="103" spans="1:4" x14ac:dyDescent="0.2">
      <c r="A103" t="s">
        <v>445</v>
      </c>
      <c r="B103" t="s">
        <v>87</v>
      </c>
      <c r="C103" t="s">
        <v>120</v>
      </c>
      <c r="D103" t="str">
        <f>IF((COUNTIFS(MappingEditor!$A:$A,$A103,MappingEditor!$J:$J,"Y")+COUNTIFS(FallbackEditor!$A:$A,$A103,FallbackEditor!$J:$J,"Y"))&gt;0,"mapped","unmapped")</f>
        <v>mapped</v>
      </c>
    </row>
    <row r="104" spans="1:4" x14ac:dyDescent="0.2">
      <c r="A104" t="s">
        <v>446</v>
      </c>
      <c r="B104" t="s">
        <v>87</v>
      </c>
      <c r="C104" t="s">
        <v>120</v>
      </c>
      <c r="D104" t="str">
        <f>IF((COUNTIFS(MappingEditor!$A:$A,$A104,MappingEditor!$J:$J,"Y")+COUNTIFS(FallbackEditor!$A:$A,$A104,FallbackEditor!$J:$J,"Y"))&gt;0,"mapped","unmapped")</f>
        <v>mapped</v>
      </c>
    </row>
    <row r="105" spans="1:4" x14ac:dyDescent="0.2">
      <c r="A105" t="s">
        <v>447</v>
      </c>
      <c r="B105" t="s">
        <v>87</v>
      </c>
      <c r="C105" t="s">
        <v>448</v>
      </c>
      <c r="D105" t="str">
        <f>IF((COUNTIFS(MappingEditor!$A:$A,$A105,MappingEditor!$J:$J,"Y")+COUNTIFS(FallbackEditor!$A:$A,$A105,FallbackEditor!$J:$J,"Y"))&gt;0,"mapped","unmapped")</f>
        <v>mapped</v>
      </c>
    </row>
    <row r="106" spans="1:4" x14ac:dyDescent="0.2">
      <c r="A106" t="s">
        <v>449</v>
      </c>
      <c r="B106" t="s">
        <v>15</v>
      </c>
      <c r="C106" t="s">
        <v>54</v>
      </c>
      <c r="D106" t="str">
        <f>IF((COUNTIFS(MappingEditor!$A:$A,$A106,MappingEditor!$J:$J,"Y")+COUNTIFS(FallbackEditor!$A:$A,$A106,FallbackEditor!$J:$J,"Y"))&gt;0,"mapped","unmapped")</f>
        <v>mapped</v>
      </c>
    </row>
    <row r="107" spans="1:4" x14ac:dyDescent="0.2">
      <c r="A107" t="s">
        <v>230</v>
      </c>
      <c r="B107" t="s">
        <v>15</v>
      </c>
      <c r="C107" t="s">
        <v>54</v>
      </c>
      <c r="D107" t="str">
        <f>IF((COUNTIFS(MappingEditor!$A:$A,$A107,MappingEditor!$J:$J,"Y")+COUNTIFS(FallbackEditor!$A:$A,$A107,FallbackEditor!$J:$J,"Y"))&gt;0,"mapped","unmapped")</f>
        <v>mapped</v>
      </c>
    </row>
    <row r="108" spans="1:4" x14ac:dyDescent="0.2">
      <c r="A108" t="s">
        <v>450</v>
      </c>
      <c r="B108" t="s">
        <v>15</v>
      </c>
      <c r="C108" t="s">
        <v>54</v>
      </c>
      <c r="D108" t="str">
        <f>IF((COUNTIFS(MappingEditor!$A:$A,$A108,MappingEditor!$J:$J,"Y")+COUNTIFS(FallbackEditor!$A:$A,$A108,FallbackEditor!$J:$J,"Y"))&gt;0,"mapped","unmapped")</f>
        <v>mapped</v>
      </c>
    </row>
    <row r="109" spans="1:4" x14ac:dyDescent="0.2">
      <c r="A109" t="s">
        <v>453</v>
      </c>
      <c r="B109" t="s">
        <v>278</v>
      </c>
      <c r="C109" t="s">
        <v>279</v>
      </c>
      <c r="D109" t="str">
        <f>IF((COUNTIFS(MappingEditor!$A:$A,$A109,MappingEditor!$J:$J,"Y")+COUNTIFS(FallbackEditor!$A:$A,$A109,FallbackEditor!$J:$J,"Y"))&gt;0,"mapped","unmapped")</f>
        <v>mapped</v>
      </c>
    </row>
    <row r="110" spans="1:4" x14ac:dyDescent="0.2">
      <c r="A110" t="s">
        <v>277</v>
      </c>
      <c r="B110" t="s">
        <v>278</v>
      </c>
      <c r="C110" t="s">
        <v>279</v>
      </c>
      <c r="D110" t="str">
        <f>IF((COUNTIFS(MappingEditor!$A:$A,$A110,MappingEditor!$J:$J,"Y")+COUNTIFS(FallbackEditor!$A:$A,$A110,FallbackEditor!$J:$J,"Y"))&gt;0,"mapped","unmapped")</f>
        <v>mapped</v>
      </c>
    </row>
    <row r="111" spans="1:4" x14ac:dyDescent="0.2">
      <c r="A111" t="s">
        <v>454</v>
      </c>
      <c r="B111" t="s">
        <v>278</v>
      </c>
      <c r="C111" t="s">
        <v>279</v>
      </c>
      <c r="D111" t="str">
        <f>IF((COUNTIFS(MappingEditor!$A:$A,$A111,MappingEditor!$J:$J,"Y")+COUNTIFS(FallbackEditor!$A:$A,$A111,FallbackEditor!$J:$J,"Y"))&gt;0,"mapped","unmapped")</f>
        <v>mapped</v>
      </c>
    </row>
    <row r="112" spans="1:4" x14ac:dyDescent="0.2">
      <c r="A112" t="s">
        <v>455</v>
      </c>
      <c r="B112" t="s">
        <v>278</v>
      </c>
      <c r="C112" t="s">
        <v>279</v>
      </c>
      <c r="D112" t="str">
        <f>IF((COUNTIFS(MappingEditor!$A:$A,$A112,MappingEditor!$J:$J,"Y")+COUNTIFS(FallbackEditor!$A:$A,$A112,FallbackEditor!$J:$J,"Y"))&gt;0,"mapped","unmapped")</f>
        <v>mapped</v>
      </c>
    </row>
    <row r="113" spans="1:4" x14ac:dyDescent="0.2">
      <c r="A113" t="s">
        <v>456</v>
      </c>
      <c r="B113" t="s">
        <v>278</v>
      </c>
      <c r="C113" t="s">
        <v>279</v>
      </c>
      <c r="D113" t="str">
        <f>IF((COUNTIFS(MappingEditor!$A:$A,$A113,MappingEditor!$J:$J,"Y")+COUNTIFS(FallbackEditor!$A:$A,$A113,FallbackEditor!$J:$J,"Y"))&gt;0,"mapped","unmapped")</f>
        <v>mapped</v>
      </c>
    </row>
    <row r="114" spans="1:4" x14ac:dyDescent="0.2">
      <c r="A114" t="s">
        <v>457</v>
      </c>
      <c r="B114" t="s">
        <v>278</v>
      </c>
      <c r="C114" t="s">
        <v>279</v>
      </c>
      <c r="D114" t="str">
        <f>IF((COUNTIFS(MappingEditor!$A:$A,$A114,MappingEditor!$J:$J,"Y")+COUNTIFS(FallbackEditor!$A:$A,$A114,FallbackEditor!$J:$J,"Y"))&gt;0,"mapped","unmapped")</f>
        <v>mapped</v>
      </c>
    </row>
    <row r="115" spans="1:4" x14ac:dyDescent="0.2">
      <c r="A115" t="s">
        <v>458</v>
      </c>
      <c r="B115" t="s">
        <v>130</v>
      </c>
      <c r="C115" t="s">
        <v>16</v>
      </c>
      <c r="D115" t="str">
        <f>IF((COUNTIFS(MappingEditor!$A:$A,$A115,MappingEditor!$J:$J,"Y")+COUNTIFS(FallbackEditor!$A:$A,$A115,FallbackEditor!$J:$J,"Y"))&gt;0,"mapped","unmapped")</f>
        <v>mapped</v>
      </c>
    </row>
    <row r="116" spans="1:4" x14ac:dyDescent="0.2">
      <c r="A116" t="s">
        <v>459</v>
      </c>
      <c r="B116" t="s">
        <v>130</v>
      </c>
      <c r="C116" t="s">
        <v>16</v>
      </c>
      <c r="D116" t="str">
        <f>IF((COUNTIFS(MappingEditor!$A:$A,$A116,MappingEditor!$J:$J,"Y")+COUNTIFS(FallbackEditor!$A:$A,$A116,FallbackEditor!$J:$J,"Y"))&gt;0,"mapped","unmapped")</f>
        <v>mapped</v>
      </c>
    </row>
    <row r="117" spans="1:4" x14ac:dyDescent="0.2">
      <c r="A117" t="s">
        <v>460</v>
      </c>
      <c r="B117" t="s">
        <v>40</v>
      </c>
      <c r="C117" t="s">
        <v>16</v>
      </c>
      <c r="D117" t="str">
        <f>IF((COUNTIFS(MappingEditor!$A:$A,$A117,MappingEditor!$J:$J,"Y")+COUNTIFS(FallbackEditor!$A:$A,$A117,FallbackEditor!$J:$J,"Y"))&gt;0,"mapped","unmapped")</f>
        <v>mapped</v>
      </c>
    </row>
    <row r="118" spans="1:4" x14ac:dyDescent="0.2">
      <c r="A118" t="s">
        <v>168</v>
      </c>
      <c r="B118" t="s">
        <v>15</v>
      </c>
      <c r="C118" t="s">
        <v>166</v>
      </c>
      <c r="D118" t="str">
        <f>IF((COUNTIFS(MappingEditor!$A:$A,$A118,MappingEditor!$J:$J,"Y")+COUNTIFS(FallbackEditor!$A:$A,$A118,FallbackEditor!$J:$J,"Y"))&gt;0,"mapped","unmapped")</f>
        <v>mapped</v>
      </c>
    </row>
    <row r="119" spans="1:4" x14ac:dyDescent="0.2">
      <c r="A119" t="s">
        <v>189</v>
      </c>
      <c r="B119" t="s">
        <v>87</v>
      </c>
      <c r="C119" t="s">
        <v>190</v>
      </c>
      <c r="D119" t="str">
        <f>IF((COUNTIFS(MappingEditor!$A:$A,$A119,MappingEditor!$J:$J,"Y")+COUNTIFS(FallbackEditor!$A:$A,$A119,FallbackEditor!$J:$J,"Y"))&gt;0,"mapped","unmapped")</f>
        <v>mapped</v>
      </c>
    </row>
    <row r="120" spans="1:4" x14ac:dyDescent="0.2">
      <c r="A120" t="s">
        <v>461</v>
      </c>
      <c r="B120" t="s">
        <v>40</v>
      </c>
      <c r="C120" t="s">
        <v>16</v>
      </c>
      <c r="D120" t="str">
        <f>IF((COUNTIFS(MappingEditor!$A:$A,$A120,MappingEditor!$J:$J,"Y")+COUNTIFS(FallbackEditor!$A:$A,$A120,FallbackEditor!$J:$J,"Y"))&gt;0,"mapped","unmapped")</f>
        <v>mapped</v>
      </c>
    </row>
    <row r="121" spans="1:4" x14ac:dyDescent="0.2">
      <c r="A121" t="s">
        <v>462</v>
      </c>
      <c r="B121" t="s">
        <v>40</v>
      </c>
      <c r="C121" t="s">
        <v>16</v>
      </c>
      <c r="D121" t="str">
        <f>IF((COUNTIFS(MappingEditor!$A:$A,$A121,MappingEditor!$J:$J,"Y")+COUNTIFS(FallbackEditor!$A:$A,$A121,FallbackEditor!$J:$J,"Y"))&gt;0,"mapped","unmapped")</f>
        <v>mapped</v>
      </c>
    </row>
    <row r="122" spans="1:4" x14ac:dyDescent="0.2">
      <c r="A122" t="s">
        <v>463</v>
      </c>
      <c r="B122" t="s">
        <v>40</v>
      </c>
      <c r="C122" t="s">
        <v>16</v>
      </c>
      <c r="D122" t="str">
        <f>IF((COUNTIFS(MappingEditor!$A:$A,$A122,MappingEditor!$J:$J,"Y")+COUNTIFS(FallbackEditor!$A:$A,$A122,FallbackEditor!$J:$J,"Y"))&gt;0,"mapped","unmapped")</f>
        <v>mapped</v>
      </c>
    </row>
    <row r="123" spans="1:4" x14ac:dyDescent="0.2">
      <c r="A123" t="s">
        <v>464</v>
      </c>
      <c r="B123" t="s">
        <v>40</v>
      </c>
      <c r="C123" t="s">
        <v>465</v>
      </c>
      <c r="D123" t="str">
        <f>IF((COUNTIFS(MappingEditor!$A:$A,$A123,MappingEditor!$J:$J,"Y")+COUNTIFS(FallbackEditor!$A:$A,$A123,FallbackEditor!$J:$J,"Y"))&gt;0,"mapped","unmapped")</f>
        <v>mapped</v>
      </c>
    </row>
    <row r="124" spans="1:4" x14ac:dyDescent="0.2">
      <c r="A124" t="s">
        <v>466</v>
      </c>
      <c r="B124" t="s">
        <v>40</v>
      </c>
      <c r="C124" t="s">
        <v>465</v>
      </c>
      <c r="D124" t="str">
        <f>IF((COUNTIFS(MappingEditor!$A:$A,$A124,MappingEditor!$J:$J,"Y")+COUNTIFS(FallbackEditor!$A:$A,$A124,FallbackEditor!$J:$J,"Y"))&gt;0,"mapped","unmapped")</f>
        <v>mapped</v>
      </c>
    </row>
    <row r="125" spans="1:4" x14ac:dyDescent="0.2">
      <c r="A125" t="s">
        <v>467</v>
      </c>
      <c r="B125" t="s">
        <v>130</v>
      </c>
      <c r="C125" t="s">
        <v>80</v>
      </c>
      <c r="D125" t="str">
        <f>IF((COUNTIFS(MappingEditor!$A:$A,$A125,MappingEditor!$J:$J,"Y")+COUNTIFS(FallbackEditor!$A:$A,$A125,FallbackEditor!$J:$J,"Y"))&gt;0,"mapped","unmapped")</f>
        <v>mapped</v>
      </c>
    </row>
    <row r="126" spans="1:4" x14ac:dyDescent="0.2">
      <c r="A126" t="s">
        <v>469</v>
      </c>
      <c r="B126" t="s">
        <v>384</v>
      </c>
      <c r="C126" t="s">
        <v>310</v>
      </c>
      <c r="D126" t="str">
        <f>IF((COUNTIFS(MappingEditor!$A:$A,$A126,MappingEditor!$J:$J,"Y")+COUNTIFS(FallbackEditor!$A:$A,$A126,FallbackEditor!$J:$J,"Y"))&gt;0,"mapped","unmapped")</f>
        <v>mapped</v>
      </c>
    </row>
    <row r="127" spans="1:4" x14ac:dyDescent="0.2">
      <c r="A127" t="s">
        <v>470</v>
      </c>
      <c r="B127" t="s">
        <v>130</v>
      </c>
      <c r="C127" t="s">
        <v>146</v>
      </c>
      <c r="D127" t="str">
        <f>IF((COUNTIFS(MappingEditor!$A:$A,$A127,MappingEditor!$J:$J,"Y")+COUNTIFS(FallbackEditor!$A:$A,$A127,FallbackEditor!$J:$J,"Y"))&gt;0,"mapped","unmapped")</f>
        <v>mapped</v>
      </c>
    </row>
    <row r="128" spans="1:4" x14ac:dyDescent="0.2">
      <c r="A128" t="s">
        <v>471</v>
      </c>
      <c r="B128" t="s">
        <v>40</v>
      </c>
      <c r="C128" t="s">
        <v>465</v>
      </c>
      <c r="D128" t="str">
        <f>IF((COUNTIFS(MappingEditor!$A:$A,$A128,MappingEditor!$J:$J,"Y")+COUNTIFS(FallbackEditor!$A:$A,$A128,FallbackEditor!$J:$J,"Y"))&gt;0,"mapped","unmapped")</f>
        <v>mapped</v>
      </c>
    </row>
    <row r="129" spans="1:4" x14ac:dyDescent="0.2">
      <c r="A129" t="s">
        <v>472</v>
      </c>
      <c r="B129" t="s">
        <v>40</v>
      </c>
      <c r="C129" t="s">
        <v>465</v>
      </c>
      <c r="D129" t="str">
        <f>IF((COUNTIFS(MappingEditor!$A:$A,$A129,MappingEditor!$J:$J,"Y")+COUNTIFS(FallbackEditor!$A:$A,$A129,FallbackEditor!$J:$J,"Y"))&gt;0,"mapped","unmapped")</f>
        <v>mapped</v>
      </c>
    </row>
    <row r="130" spans="1:4" x14ac:dyDescent="0.2">
      <c r="A130" t="s">
        <v>270</v>
      </c>
      <c r="B130" t="s">
        <v>130</v>
      </c>
      <c r="C130" t="s">
        <v>146</v>
      </c>
      <c r="D130" t="str">
        <f>IF((COUNTIFS(MappingEditor!$A:$A,$A130,MappingEditor!$J:$J,"Y")+COUNTIFS(FallbackEditor!$A:$A,$A130,FallbackEditor!$J:$J,"Y"))&gt;0,"mapped","unmapped")</f>
        <v>mapped</v>
      </c>
    </row>
    <row r="131" spans="1:4" x14ac:dyDescent="0.2">
      <c r="A131" t="s">
        <v>274</v>
      </c>
      <c r="B131" t="s">
        <v>130</v>
      </c>
      <c r="C131" t="s">
        <v>146</v>
      </c>
      <c r="D131" t="str">
        <f>IF((COUNTIFS(MappingEditor!$A:$A,$A131,MappingEditor!$J:$J,"Y")+COUNTIFS(FallbackEditor!$A:$A,$A131,FallbackEditor!$J:$J,"Y"))&gt;0,"mapped","unmapped")</f>
        <v>mapped</v>
      </c>
    </row>
    <row r="132" spans="1:4" x14ac:dyDescent="0.2">
      <c r="A132" t="s">
        <v>271</v>
      </c>
      <c r="B132" t="s">
        <v>130</v>
      </c>
      <c r="C132" t="s">
        <v>146</v>
      </c>
      <c r="D132" t="str">
        <f>IF((COUNTIFS(MappingEditor!$A:$A,$A132,MappingEditor!$J:$J,"Y")+COUNTIFS(FallbackEditor!$A:$A,$A132,FallbackEditor!$J:$J,"Y"))&gt;0,"mapped","unmapped")</f>
        <v>mapped</v>
      </c>
    </row>
    <row r="133" spans="1:4" x14ac:dyDescent="0.2">
      <c r="A133" t="s">
        <v>473</v>
      </c>
      <c r="B133" t="s">
        <v>130</v>
      </c>
      <c r="C133" t="s">
        <v>356</v>
      </c>
      <c r="D133" t="str">
        <f>IF((COUNTIFS(MappingEditor!$A:$A,$A133,MappingEditor!$J:$J,"Y")+COUNTIFS(FallbackEditor!$A:$A,$A133,FallbackEditor!$J:$J,"Y"))&gt;0,"mapped","unmapped")</f>
        <v>mapped</v>
      </c>
    </row>
    <row r="134" spans="1:4" x14ac:dyDescent="0.2">
      <c r="A134" t="s">
        <v>155</v>
      </c>
      <c r="B134" t="s">
        <v>87</v>
      </c>
      <c r="C134" t="s">
        <v>96</v>
      </c>
      <c r="D134" t="str">
        <f>IF((COUNTIFS(MappingEditor!$A:$A,$A134,MappingEditor!$J:$J,"Y")+COUNTIFS(FallbackEditor!$A:$A,$A134,FallbackEditor!$J:$J,"Y"))&gt;0,"mapped","unmapped")</f>
        <v>mapped</v>
      </c>
    </row>
    <row r="135" spans="1:4" x14ac:dyDescent="0.2">
      <c r="A135" t="s">
        <v>220</v>
      </c>
      <c r="B135" t="s">
        <v>87</v>
      </c>
      <c r="C135" t="s">
        <v>221</v>
      </c>
      <c r="D135" t="str">
        <f>IF((COUNTIFS(MappingEditor!$A:$A,$A135,MappingEditor!$J:$J,"Y")+COUNTIFS(FallbackEditor!$A:$A,$A135,FallbackEditor!$J:$J,"Y"))&gt;0,"mapped","unmapped")</f>
        <v>mapped</v>
      </c>
    </row>
    <row r="136" spans="1:4" x14ac:dyDescent="0.2">
      <c r="A136" t="s">
        <v>474</v>
      </c>
      <c r="B136" t="s">
        <v>79</v>
      </c>
      <c r="C136" t="s">
        <v>80</v>
      </c>
      <c r="D136" t="str">
        <f>IF((COUNTIFS(MappingEditor!$A:$A,$A136,MappingEditor!$J:$J,"Y")+COUNTIFS(FallbackEditor!$A:$A,$A136,FallbackEditor!$J:$J,"Y"))&gt;0,"mapped","unmapped")</f>
        <v>mapped</v>
      </c>
    </row>
    <row r="137" spans="1:4" x14ac:dyDescent="0.2">
      <c r="A137" t="s">
        <v>227</v>
      </c>
      <c r="B137" t="s">
        <v>40</v>
      </c>
      <c r="C137" t="s">
        <v>228</v>
      </c>
      <c r="D137" t="str">
        <f>IF((COUNTIFS(MappingEditor!$A:$A,$A137,MappingEditor!$J:$J,"Y")+COUNTIFS(FallbackEditor!$A:$A,$A137,FallbackEditor!$J:$J,"Y"))&gt;0,"mapped","unmapped")</f>
        <v>mapped</v>
      </c>
    </row>
    <row r="138" spans="1:4" x14ac:dyDescent="0.2">
      <c r="A138" t="s">
        <v>475</v>
      </c>
      <c r="B138" t="s">
        <v>130</v>
      </c>
      <c r="C138" t="s">
        <v>346</v>
      </c>
      <c r="D138" t="str">
        <f>IF((COUNTIFS(MappingEditor!$A:$A,$A138,MappingEditor!$J:$J,"Y")+COUNTIFS(FallbackEditor!$A:$A,$A138,FallbackEditor!$J:$J,"Y"))&gt;0,"mapped","unmapped")</f>
        <v>mapped</v>
      </c>
    </row>
    <row r="139" spans="1:4" x14ac:dyDescent="0.2">
      <c r="A139" t="s">
        <v>476</v>
      </c>
      <c r="B139" t="s">
        <v>130</v>
      </c>
      <c r="C139" t="s">
        <v>346</v>
      </c>
      <c r="D139" t="str">
        <f>IF((COUNTIFS(MappingEditor!$A:$A,$A139,MappingEditor!$J:$J,"Y")+COUNTIFS(FallbackEditor!$A:$A,$A139,FallbackEditor!$J:$J,"Y"))&gt;0,"mapped","unmapped")</f>
        <v>mapped</v>
      </c>
    </row>
    <row r="140" spans="1:4" x14ac:dyDescent="0.2">
      <c r="A140" t="s">
        <v>477</v>
      </c>
      <c r="B140" t="s">
        <v>130</v>
      </c>
      <c r="C140" t="s">
        <v>346</v>
      </c>
      <c r="D140" t="str">
        <f>IF((COUNTIFS(MappingEditor!$A:$A,$A140,MappingEditor!$J:$J,"Y")+COUNTIFS(FallbackEditor!$A:$A,$A140,FallbackEditor!$J:$J,"Y"))&gt;0,"mapped","unmapped")</f>
        <v>mapped</v>
      </c>
    </row>
    <row r="141" spans="1:4" x14ac:dyDescent="0.2">
      <c r="A141" t="s">
        <v>478</v>
      </c>
      <c r="B141" t="s">
        <v>130</v>
      </c>
      <c r="C141" t="s">
        <v>346</v>
      </c>
      <c r="D141" t="str">
        <f>IF((COUNTIFS(MappingEditor!$A:$A,$A141,MappingEditor!$J:$J,"Y")+COUNTIFS(FallbackEditor!$A:$A,$A141,FallbackEditor!$J:$J,"Y"))&gt;0,"mapped","unmapped")</f>
        <v>mapped</v>
      </c>
    </row>
    <row r="142" spans="1:4" x14ac:dyDescent="0.2">
      <c r="A142" t="s">
        <v>479</v>
      </c>
      <c r="B142" t="s">
        <v>130</v>
      </c>
      <c r="C142" t="s">
        <v>346</v>
      </c>
      <c r="D142" t="str">
        <f>IF((COUNTIFS(MappingEditor!$A:$A,$A142,MappingEditor!$J:$J,"Y")+COUNTIFS(FallbackEditor!$A:$A,$A142,FallbackEditor!$J:$J,"Y"))&gt;0,"mapped","unmapped")</f>
        <v>mapped</v>
      </c>
    </row>
    <row r="143" spans="1:4" x14ac:dyDescent="0.2">
      <c r="A143" t="s">
        <v>480</v>
      </c>
      <c r="B143" t="s">
        <v>130</v>
      </c>
      <c r="C143" t="s">
        <v>346</v>
      </c>
      <c r="D143" t="str">
        <f>IF((COUNTIFS(MappingEditor!$A:$A,$A143,MappingEditor!$J:$J,"Y")+COUNTIFS(FallbackEditor!$A:$A,$A143,FallbackEditor!$J:$J,"Y"))&gt;0,"mapped","unmapped")</f>
        <v>mapped</v>
      </c>
    </row>
    <row r="144" spans="1:4" x14ac:dyDescent="0.2">
      <c r="A144" t="s">
        <v>481</v>
      </c>
      <c r="B144" t="s">
        <v>130</v>
      </c>
      <c r="C144" t="s">
        <v>346</v>
      </c>
      <c r="D144" t="str">
        <f>IF((COUNTIFS(MappingEditor!$A:$A,$A144,MappingEditor!$J:$J,"Y")+COUNTIFS(FallbackEditor!$A:$A,$A144,FallbackEditor!$J:$J,"Y"))&gt;0,"mapped","unmapped")</f>
        <v>mapped</v>
      </c>
    </row>
    <row r="145" spans="1:4" x14ac:dyDescent="0.2">
      <c r="A145" t="s">
        <v>482</v>
      </c>
      <c r="B145" t="s">
        <v>130</v>
      </c>
      <c r="C145" t="s">
        <v>346</v>
      </c>
      <c r="D145" t="str">
        <f>IF((COUNTIFS(MappingEditor!$A:$A,$A145,MappingEditor!$J:$J,"Y")+COUNTIFS(FallbackEditor!$A:$A,$A145,FallbackEditor!$J:$J,"Y"))&gt;0,"mapped","unmapped")</f>
        <v>mapped</v>
      </c>
    </row>
    <row r="146" spans="1:4" x14ac:dyDescent="0.2">
      <c r="A146" t="s">
        <v>483</v>
      </c>
      <c r="B146" t="s">
        <v>130</v>
      </c>
      <c r="C146" t="s">
        <v>346</v>
      </c>
      <c r="D146" t="str">
        <f>IF((COUNTIFS(MappingEditor!$A:$A,$A146,MappingEditor!$J:$J,"Y")+COUNTIFS(FallbackEditor!$A:$A,$A146,FallbackEditor!$J:$J,"Y"))&gt;0,"mapped","unmapped")</f>
        <v>mapped</v>
      </c>
    </row>
    <row r="147" spans="1:4" x14ac:dyDescent="0.2">
      <c r="A147" t="s">
        <v>170</v>
      </c>
      <c r="B147" t="s">
        <v>87</v>
      </c>
      <c r="C147" t="s">
        <v>96</v>
      </c>
      <c r="D147" t="str">
        <f>IF((COUNTIFS(MappingEditor!$A:$A,$A147,MappingEditor!$J:$J,"Y")+COUNTIFS(FallbackEditor!$A:$A,$A147,FallbackEditor!$J:$J,"Y"))&gt;0,"mapped","unmapped")</f>
        <v>mapped</v>
      </c>
    </row>
    <row r="148" spans="1:4" x14ac:dyDescent="0.2">
      <c r="A148" t="s">
        <v>74</v>
      </c>
      <c r="B148" t="s">
        <v>15</v>
      </c>
      <c r="C148" t="s">
        <v>49</v>
      </c>
      <c r="D148" t="str">
        <f>IF((COUNTIFS(MappingEditor!$A:$A,$A148,MappingEditor!$J:$J,"Y")+COUNTIFS(FallbackEditor!$A:$A,$A148,FallbackEditor!$J:$J,"Y"))&gt;0,"mapped","unmapped")</f>
        <v>mapped</v>
      </c>
    </row>
    <row r="149" spans="1:4" x14ac:dyDescent="0.2">
      <c r="A149" t="s">
        <v>196</v>
      </c>
      <c r="B149" t="s">
        <v>87</v>
      </c>
      <c r="C149" t="s">
        <v>182</v>
      </c>
      <c r="D149" t="str">
        <f>IF((COUNTIFS(MappingEditor!$A:$A,$A149,MappingEditor!$J:$J,"Y")+COUNTIFS(FallbackEditor!$A:$A,$A149,FallbackEditor!$J:$J,"Y"))&gt;0,"mapped","unmapped")</f>
        <v>mapped</v>
      </c>
    </row>
    <row r="150" spans="1:4" x14ac:dyDescent="0.2">
      <c r="A150" t="s">
        <v>198</v>
      </c>
      <c r="B150" t="s">
        <v>87</v>
      </c>
      <c r="C150" t="s">
        <v>182</v>
      </c>
      <c r="D150" t="str">
        <f>IF((COUNTIFS(MappingEditor!$A:$A,$A150,MappingEditor!$J:$J,"Y")+COUNTIFS(FallbackEditor!$A:$A,$A150,FallbackEditor!$J:$J,"Y"))&gt;0,"mapped","unmapped")</f>
        <v>mapped</v>
      </c>
    </row>
    <row r="151" spans="1:4" x14ac:dyDescent="0.2">
      <c r="A151" t="s">
        <v>484</v>
      </c>
      <c r="B151" t="s">
        <v>87</v>
      </c>
      <c r="C151" t="s">
        <v>182</v>
      </c>
      <c r="D151" t="str">
        <f>IF((COUNTIFS(MappingEditor!$A:$A,$A151,MappingEditor!$J:$J,"Y")+COUNTIFS(FallbackEditor!$A:$A,$A151,FallbackEditor!$J:$J,"Y"))&gt;0,"mapped","unmapped")</f>
        <v>mapped</v>
      </c>
    </row>
    <row r="152" spans="1:4" x14ac:dyDescent="0.2">
      <c r="A152" t="s">
        <v>197</v>
      </c>
      <c r="B152" t="s">
        <v>87</v>
      </c>
      <c r="C152" t="s">
        <v>182</v>
      </c>
      <c r="D152" t="str">
        <f>IF((COUNTIFS(MappingEditor!$A:$A,$A152,MappingEditor!$J:$J,"Y")+COUNTIFS(FallbackEditor!$A:$A,$A152,FallbackEditor!$J:$J,"Y"))&gt;0,"mapped","unmapped")</f>
        <v>mapped</v>
      </c>
    </row>
    <row r="153" spans="1:4" x14ac:dyDescent="0.2">
      <c r="A153" t="s">
        <v>193</v>
      </c>
      <c r="B153" t="s">
        <v>87</v>
      </c>
      <c r="C153" t="s">
        <v>182</v>
      </c>
      <c r="D153" t="str">
        <f>IF((COUNTIFS(MappingEditor!$A:$A,$A153,MappingEditor!$J:$J,"Y")+COUNTIFS(FallbackEditor!$A:$A,$A153,FallbackEditor!$J:$J,"Y"))&gt;0,"mapped","unmapped")</f>
        <v>mapped</v>
      </c>
    </row>
    <row r="154" spans="1:4" x14ac:dyDescent="0.2">
      <c r="A154" t="s">
        <v>124</v>
      </c>
      <c r="B154" t="s">
        <v>87</v>
      </c>
      <c r="C154" t="s">
        <v>80</v>
      </c>
      <c r="D154" t="str">
        <f>IF((COUNTIFS(MappingEditor!$A:$A,$A154,MappingEditor!$J:$J,"Y")+COUNTIFS(FallbackEditor!$A:$A,$A154,FallbackEditor!$J:$J,"Y"))&gt;0,"mapped","unmapped")</f>
        <v>mapped</v>
      </c>
    </row>
    <row r="155" spans="1:4" x14ac:dyDescent="0.2">
      <c r="A155" t="s">
        <v>139</v>
      </c>
      <c r="B155" t="s">
        <v>15</v>
      </c>
      <c r="C155" t="s">
        <v>80</v>
      </c>
      <c r="D155" t="str">
        <f>IF((COUNTIFS(MappingEditor!$A:$A,$A155,MappingEditor!$J:$J,"Y")+COUNTIFS(FallbackEditor!$A:$A,$A155,FallbackEditor!$J:$J,"Y"))&gt;0,"mapped","unmapped")</f>
        <v>mapped</v>
      </c>
    </row>
    <row r="156" spans="1:4" x14ac:dyDescent="0.2">
      <c r="A156" t="s">
        <v>158</v>
      </c>
      <c r="B156" t="s">
        <v>87</v>
      </c>
      <c r="C156" t="s">
        <v>96</v>
      </c>
      <c r="D156" t="str">
        <f>IF((COUNTIFS(MappingEditor!$A:$A,$A156,MappingEditor!$J:$J,"Y")+COUNTIFS(FallbackEditor!$A:$A,$A156,FallbackEditor!$J:$J,"Y"))&gt;0,"mapped","unmapped")</f>
        <v>mapped</v>
      </c>
    </row>
    <row r="157" spans="1:4" x14ac:dyDescent="0.2">
      <c r="A157" t="s">
        <v>485</v>
      </c>
      <c r="B157" t="s">
        <v>130</v>
      </c>
      <c r="C157" t="s">
        <v>356</v>
      </c>
      <c r="D157" t="str">
        <f>IF((COUNTIFS(MappingEditor!$A:$A,$A157,MappingEditor!$J:$J,"Y")+COUNTIFS(FallbackEditor!$A:$A,$A157,FallbackEditor!$J:$J,"Y"))&gt;0,"mapped","unmapped")</f>
        <v>mapped</v>
      </c>
    </row>
    <row r="158" spans="1:4" x14ac:dyDescent="0.2">
      <c r="A158" t="s">
        <v>82</v>
      </c>
      <c r="B158" t="s">
        <v>15</v>
      </c>
      <c r="C158" t="s">
        <v>83</v>
      </c>
      <c r="D158" t="str">
        <f>IF((COUNTIFS(MappingEditor!$A:$A,$A158,MappingEditor!$J:$J,"Y")+COUNTIFS(FallbackEditor!$A:$A,$A158,FallbackEditor!$J:$J,"Y"))&gt;0,"mapped","unmapped")</f>
        <v>mapped</v>
      </c>
    </row>
    <row r="159" spans="1:4" x14ac:dyDescent="0.2">
      <c r="A159" t="s">
        <v>486</v>
      </c>
      <c r="B159" t="s">
        <v>87</v>
      </c>
      <c r="C159" t="s">
        <v>487</v>
      </c>
      <c r="D159" t="str">
        <f>IF((COUNTIFS(MappingEditor!$A:$A,$A159,MappingEditor!$J:$J,"Y")+COUNTIFS(FallbackEditor!$A:$A,$A159,FallbackEditor!$J:$J,"Y"))&gt;0,"mapped","unmapped")</f>
        <v>mapped</v>
      </c>
    </row>
    <row r="160" spans="1:4" x14ac:dyDescent="0.2">
      <c r="A160" t="s">
        <v>488</v>
      </c>
      <c r="B160" t="s">
        <v>130</v>
      </c>
      <c r="C160" t="s">
        <v>356</v>
      </c>
      <c r="D160" t="str">
        <f>IF((COUNTIFS(MappingEditor!$A:$A,$A160,MappingEditor!$J:$J,"Y")+COUNTIFS(FallbackEditor!$A:$A,$A160,FallbackEditor!$J:$J,"Y"))&gt;0,"mapped","unmapped")</f>
        <v>mapped</v>
      </c>
    </row>
    <row r="161" spans="1:4" x14ac:dyDescent="0.2">
      <c r="A161" t="s">
        <v>489</v>
      </c>
      <c r="B161" t="s">
        <v>87</v>
      </c>
      <c r="C161" t="s">
        <v>487</v>
      </c>
      <c r="D161" t="str">
        <f>IF((COUNTIFS(MappingEditor!$A:$A,$A161,MappingEditor!$J:$J,"Y")+COUNTIFS(FallbackEditor!$A:$A,$A161,FallbackEditor!$J:$J,"Y"))&gt;0,"mapped","unmapped")</f>
        <v>mapped</v>
      </c>
    </row>
    <row r="162" spans="1:4" x14ac:dyDescent="0.2">
      <c r="A162" t="s">
        <v>490</v>
      </c>
      <c r="B162" t="s">
        <v>130</v>
      </c>
      <c r="C162" t="s">
        <v>356</v>
      </c>
      <c r="D162" t="str">
        <f>IF((COUNTIFS(MappingEditor!$A:$A,$A162,MappingEditor!$J:$J,"Y")+COUNTIFS(FallbackEditor!$A:$A,$A162,FallbackEditor!$J:$J,"Y"))&gt;0,"mapped","unmapped")</f>
        <v>mapped</v>
      </c>
    </row>
    <row r="163" spans="1:4" x14ac:dyDescent="0.2">
      <c r="A163" t="s">
        <v>491</v>
      </c>
      <c r="B163" t="s">
        <v>87</v>
      </c>
      <c r="C163" t="s">
        <v>487</v>
      </c>
      <c r="D163" t="str">
        <f>IF((COUNTIFS(MappingEditor!$A:$A,$A163,MappingEditor!$J:$J,"Y")+COUNTIFS(FallbackEditor!$A:$A,$A163,FallbackEditor!$J:$J,"Y"))&gt;0,"mapped","unmapped")</f>
        <v>mapped</v>
      </c>
    </row>
    <row r="164" spans="1:4" x14ac:dyDescent="0.2">
      <c r="A164" t="s">
        <v>492</v>
      </c>
      <c r="B164" t="s">
        <v>87</v>
      </c>
      <c r="C164" t="s">
        <v>487</v>
      </c>
      <c r="D164" t="str">
        <f>IF((COUNTIFS(MappingEditor!$A:$A,$A164,MappingEditor!$J:$J,"Y")+COUNTIFS(FallbackEditor!$A:$A,$A164,FallbackEditor!$J:$J,"Y"))&gt;0,"mapped","unmapped")</f>
        <v>mapped</v>
      </c>
    </row>
    <row r="165" spans="1:4" x14ac:dyDescent="0.2">
      <c r="A165" t="s">
        <v>493</v>
      </c>
      <c r="B165" t="s">
        <v>87</v>
      </c>
      <c r="C165" t="s">
        <v>487</v>
      </c>
      <c r="D165" t="str">
        <f>IF((COUNTIFS(MappingEditor!$A:$A,$A165,MappingEditor!$J:$J,"Y")+COUNTIFS(FallbackEditor!$A:$A,$A165,FallbackEditor!$J:$J,"Y"))&gt;0,"mapped","unmapped")</f>
        <v>mapped</v>
      </c>
    </row>
    <row r="166" spans="1:4" x14ac:dyDescent="0.2">
      <c r="A166" t="s">
        <v>494</v>
      </c>
      <c r="B166" t="s">
        <v>87</v>
      </c>
      <c r="C166" t="s">
        <v>487</v>
      </c>
      <c r="D166" t="str">
        <f>IF((COUNTIFS(MappingEditor!$A:$A,$A166,MappingEditor!$J:$J,"Y")+COUNTIFS(FallbackEditor!$A:$A,$A166,FallbackEditor!$J:$J,"Y"))&gt;0,"mapped","unmapped")</f>
        <v>mapped</v>
      </c>
    </row>
    <row r="167" spans="1:4" x14ac:dyDescent="0.2">
      <c r="A167" t="s">
        <v>495</v>
      </c>
      <c r="B167" t="s">
        <v>87</v>
      </c>
      <c r="C167" t="s">
        <v>487</v>
      </c>
      <c r="D167" t="str">
        <f>IF((COUNTIFS(MappingEditor!$A:$A,$A167,MappingEditor!$J:$J,"Y")+COUNTIFS(FallbackEditor!$A:$A,$A167,FallbackEditor!$J:$J,"Y"))&gt;0,"mapped","unmapped")</f>
        <v>mapped</v>
      </c>
    </row>
    <row r="168" spans="1:4" x14ac:dyDescent="0.2">
      <c r="A168" t="s">
        <v>496</v>
      </c>
      <c r="B168" t="s">
        <v>87</v>
      </c>
      <c r="C168" t="s">
        <v>487</v>
      </c>
      <c r="D168" t="str">
        <f>IF((COUNTIFS(MappingEditor!$A:$A,$A168,MappingEditor!$J:$J,"Y")+COUNTIFS(FallbackEditor!$A:$A,$A168,FallbackEditor!$J:$J,"Y"))&gt;0,"mapped","unmapped")</f>
        <v>mapped</v>
      </c>
    </row>
    <row r="169" spans="1:4" x14ac:dyDescent="0.2">
      <c r="A169" t="s">
        <v>497</v>
      </c>
      <c r="B169" t="s">
        <v>87</v>
      </c>
      <c r="C169" t="s">
        <v>487</v>
      </c>
      <c r="D169" t="str">
        <f>IF((COUNTIFS(MappingEditor!$A:$A,$A169,MappingEditor!$J:$J,"Y")+COUNTIFS(FallbackEditor!$A:$A,$A169,FallbackEditor!$J:$J,"Y"))&gt;0,"mapped","unmapped")</f>
        <v>mapped</v>
      </c>
    </row>
    <row r="170" spans="1:4" x14ac:dyDescent="0.2">
      <c r="A170" t="s">
        <v>498</v>
      </c>
      <c r="B170" t="s">
        <v>87</v>
      </c>
      <c r="C170" t="s">
        <v>487</v>
      </c>
      <c r="D170" t="str">
        <f>IF((COUNTIFS(MappingEditor!$A:$A,$A170,MappingEditor!$J:$J,"Y")+COUNTIFS(FallbackEditor!$A:$A,$A170,FallbackEditor!$J:$J,"Y"))&gt;0,"mapped","unmapped")</f>
        <v>mapped</v>
      </c>
    </row>
    <row r="171" spans="1:4" x14ac:dyDescent="0.2">
      <c r="A171" t="s">
        <v>499</v>
      </c>
      <c r="B171" t="s">
        <v>87</v>
      </c>
      <c r="C171" t="s">
        <v>487</v>
      </c>
      <c r="D171" t="str">
        <f>IF((COUNTIFS(MappingEditor!$A:$A,$A171,MappingEditor!$J:$J,"Y")+COUNTIFS(FallbackEditor!$A:$A,$A171,FallbackEditor!$J:$J,"Y"))&gt;0,"mapped","unmapped")</f>
        <v>mapped</v>
      </c>
    </row>
    <row r="172" spans="1:4" x14ac:dyDescent="0.2">
      <c r="A172" t="s">
        <v>500</v>
      </c>
      <c r="B172" t="s">
        <v>87</v>
      </c>
      <c r="C172" t="s">
        <v>487</v>
      </c>
      <c r="D172" t="str">
        <f>IF((COUNTIFS(MappingEditor!$A:$A,$A172,MappingEditor!$J:$J,"Y")+COUNTIFS(FallbackEditor!$A:$A,$A172,FallbackEditor!$J:$J,"Y"))&gt;0,"mapped","unmapped")</f>
        <v>mapped</v>
      </c>
    </row>
    <row r="173" spans="1:4" x14ac:dyDescent="0.2">
      <c r="A173" t="s">
        <v>501</v>
      </c>
      <c r="B173" t="s">
        <v>87</v>
      </c>
      <c r="C173" t="s">
        <v>487</v>
      </c>
      <c r="D173" t="str">
        <f>IF((COUNTIFS(MappingEditor!$A:$A,$A173,MappingEditor!$J:$J,"Y")+COUNTIFS(FallbackEditor!$A:$A,$A173,FallbackEditor!$J:$J,"Y"))&gt;0,"mapped","unmapped")</f>
        <v>mapped</v>
      </c>
    </row>
    <row r="174" spans="1:4" x14ac:dyDescent="0.2">
      <c r="A174" t="s">
        <v>502</v>
      </c>
      <c r="B174" t="s">
        <v>87</v>
      </c>
      <c r="C174" t="s">
        <v>487</v>
      </c>
      <c r="D174" t="str">
        <f>IF((COUNTIFS(MappingEditor!$A:$A,$A174,MappingEditor!$J:$J,"Y")+COUNTIFS(FallbackEditor!$A:$A,$A174,FallbackEditor!$J:$J,"Y"))&gt;0,"mapped","unmapped")</f>
        <v>mapped</v>
      </c>
    </row>
    <row r="175" spans="1:4" x14ac:dyDescent="0.2">
      <c r="A175" t="s">
        <v>503</v>
      </c>
      <c r="B175" t="s">
        <v>130</v>
      </c>
      <c r="C175" t="s">
        <v>356</v>
      </c>
      <c r="D175" t="str">
        <f>IF((COUNTIFS(MappingEditor!$A:$A,$A175,MappingEditor!$J:$J,"Y")+COUNTIFS(FallbackEditor!$A:$A,$A175,FallbackEditor!$J:$J,"Y"))&gt;0,"mapped","unmapped")</f>
        <v>mapped</v>
      </c>
    </row>
    <row r="176" spans="1:4" x14ac:dyDescent="0.2">
      <c r="A176" t="s">
        <v>504</v>
      </c>
      <c r="B176" t="s">
        <v>87</v>
      </c>
      <c r="C176" t="s">
        <v>487</v>
      </c>
      <c r="D176" t="str">
        <f>IF((COUNTIFS(MappingEditor!$A:$A,$A176,MappingEditor!$J:$J,"Y")+COUNTIFS(FallbackEditor!$A:$A,$A176,FallbackEditor!$J:$J,"Y"))&gt;0,"mapped","unmapped")</f>
        <v>mapped</v>
      </c>
    </row>
    <row r="177" spans="1:4" x14ac:dyDescent="0.2">
      <c r="A177" t="s">
        <v>505</v>
      </c>
      <c r="B177" t="s">
        <v>87</v>
      </c>
      <c r="C177" t="s">
        <v>487</v>
      </c>
      <c r="D177" t="str">
        <f>IF((COUNTIFS(MappingEditor!$A:$A,$A177,MappingEditor!$J:$J,"Y")+COUNTIFS(FallbackEditor!$A:$A,$A177,FallbackEditor!$J:$J,"Y"))&gt;0,"mapped","unmapped")</f>
        <v>mapped</v>
      </c>
    </row>
    <row r="178" spans="1:4" x14ac:dyDescent="0.2">
      <c r="A178" t="s">
        <v>506</v>
      </c>
      <c r="B178" t="s">
        <v>87</v>
      </c>
      <c r="C178" t="s">
        <v>487</v>
      </c>
      <c r="D178" t="str">
        <f>IF((COUNTIFS(MappingEditor!$A:$A,$A178,MappingEditor!$J:$J,"Y")+COUNTIFS(FallbackEditor!$A:$A,$A178,FallbackEditor!$J:$J,"Y"))&gt;0,"mapped","unmapped")</f>
        <v>mapped</v>
      </c>
    </row>
    <row r="179" spans="1:4" x14ac:dyDescent="0.2">
      <c r="A179" t="s">
        <v>507</v>
      </c>
      <c r="B179" t="s">
        <v>87</v>
      </c>
      <c r="C179" t="s">
        <v>487</v>
      </c>
      <c r="D179" t="str">
        <f>IF((COUNTIFS(MappingEditor!$A:$A,$A179,MappingEditor!$J:$J,"Y")+COUNTIFS(FallbackEditor!$A:$A,$A179,FallbackEditor!$J:$J,"Y"))&gt;0,"mapped","unmapped")</f>
        <v>mapped</v>
      </c>
    </row>
    <row r="180" spans="1:4" x14ac:dyDescent="0.2">
      <c r="A180" t="s">
        <v>508</v>
      </c>
      <c r="B180" t="s">
        <v>87</v>
      </c>
      <c r="C180" t="s">
        <v>487</v>
      </c>
      <c r="D180" t="str">
        <f>IF((COUNTIFS(MappingEditor!$A:$A,$A180,MappingEditor!$J:$J,"Y")+COUNTIFS(FallbackEditor!$A:$A,$A180,FallbackEditor!$J:$J,"Y"))&gt;0,"mapped","unmapped")</f>
        <v>mapped</v>
      </c>
    </row>
    <row r="181" spans="1:4" x14ac:dyDescent="0.2">
      <c r="A181" t="s">
        <v>509</v>
      </c>
      <c r="B181" t="s">
        <v>87</v>
      </c>
      <c r="C181" t="s">
        <v>487</v>
      </c>
      <c r="D181" t="str">
        <f>IF((COUNTIFS(MappingEditor!$A:$A,$A181,MappingEditor!$J:$J,"Y")+COUNTIFS(FallbackEditor!$A:$A,$A181,FallbackEditor!$J:$J,"Y"))&gt;0,"mapped","unmapped")</f>
        <v>mapped</v>
      </c>
    </row>
    <row r="182" spans="1:4" x14ac:dyDescent="0.2">
      <c r="A182" t="s">
        <v>510</v>
      </c>
      <c r="B182" t="s">
        <v>87</v>
      </c>
      <c r="C182" t="s">
        <v>487</v>
      </c>
      <c r="D182" t="str">
        <f>IF((COUNTIFS(MappingEditor!$A:$A,$A182,MappingEditor!$J:$J,"Y")+COUNTIFS(FallbackEditor!$A:$A,$A182,FallbackEditor!$J:$J,"Y"))&gt;0,"mapped","unmapped")</f>
        <v>mapped</v>
      </c>
    </row>
    <row r="183" spans="1:4" x14ac:dyDescent="0.2">
      <c r="A183" t="s">
        <v>511</v>
      </c>
      <c r="B183" t="s">
        <v>87</v>
      </c>
      <c r="C183" t="s">
        <v>487</v>
      </c>
      <c r="D183" t="str">
        <f>IF((COUNTIFS(MappingEditor!$A:$A,$A183,MappingEditor!$J:$J,"Y")+COUNTIFS(FallbackEditor!$A:$A,$A183,FallbackEditor!$J:$J,"Y"))&gt;0,"mapped","unmapped")</f>
        <v>mapped</v>
      </c>
    </row>
    <row r="184" spans="1:4" x14ac:dyDescent="0.2">
      <c r="A184" t="s">
        <v>512</v>
      </c>
      <c r="B184" t="s">
        <v>79</v>
      </c>
      <c r="C184" t="s">
        <v>80</v>
      </c>
      <c r="D184" t="str">
        <f>IF((COUNTIFS(MappingEditor!$A:$A,$A184,MappingEditor!$J:$J,"Y")+COUNTIFS(FallbackEditor!$A:$A,$A184,FallbackEditor!$J:$J,"Y"))&gt;0,"mapped","unmapped")</f>
        <v>mapped</v>
      </c>
    </row>
    <row r="185" spans="1:4" x14ac:dyDescent="0.2">
      <c r="A185" t="s">
        <v>513</v>
      </c>
      <c r="B185" t="s">
        <v>87</v>
      </c>
      <c r="C185" t="s">
        <v>487</v>
      </c>
      <c r="D185" t="str">
        <f>IF((COUNTIFS(MappingEditor!$A:$A,$A185,MappingEditor!$J:$J,"Y")+COUNTIFS(FallbackEditor!$A:$A,$A185,FallbackEditor!$J:$J,"Y"))&gt;0,"mapped","unmapped")</f>
        <v>mapped</v>
      </c>
    </row>
    <row r="186" spans="1:4" x14ac:dyDescent="0.2">
      <c r="A186" t="s">
        <v>514</v>
      </c>
      <c r="B186" t="s">
        <v>87</v>
      </c>
      <c r="C186" t="s">
        <v>487</v>
      </c>
      <c r="D186" t="str">
        <f>IF((COUNTIFS(MappingEditor!$A:$A,$A186,MappingEditor!$J:$J,"Y")+COUNTIFS(FallbackEditor!$A:$A,$A186,FallbackEditor!$J:$J,"Y"))&gt;0,"mapped","unmapped")</f>
        <v>mapped</v>
      </c>
    </row>
    <row r="187" spans="1:4" x14ac:dyDescent="0.2">
      <c r="A187" t="s">
        <v>515</v>
      </c>
      <c r="B187" t="s">
        <v>130</v>
      </c>
      <c r="C187" t="s">
        <v>356</v>
      </c>
      <c r="D187" t="str">
        <f>IF((COUNTIFS(MappingEditor!$A:$A,$A187,MappingEditor!$J:$J,"Y")+COUNTIFS(FallbackEditor!$A:$A,$A187,FallbackEditor!$J:$J,"Y"))&gt;0,"mapped","unmapped")</f>
        <v>mapped</v>
      </c>
    </row>
    <row r="188" spans="1:4" x14ac:dyDescent="0.2">
      <c r="A188" t="s">
        <v>516</v>
      </c>
      <c r="B188" t="s">
        <v>130</v>
      </c>
      <c r="C188" t="s">
        <v>356</v>
      </c>
      <c r="D188" t="str">
        <f>IF((COUNTIFS(MappingEditor!$A:$A,$A188,MappingEditor!$J:$J,"Y")+COUNTIFS(FallbackEditor!$A:$A,$A188,FallbackEditor!$J:$J,"Y"))&gt;0,"mapped","unmapped")</f>
        <v>mapped</v>
      </c>
    </row>
    <row r="189" spans="1:4" x14ac:dyDescent="0.2">
      <c r="A189" t="s">
        <v>517</v>
      </c>
      <c r="B189" t="s">
        <v>87</v>
      </c>
      <c r="C189" t="s">
        <v>487</v>
      </c>
      <c r="D189" t="str">
        <f>IF((COUNTIFS(MappingEditor!$A:$A,$A189,MappingEditor!$J:$J,"Y")+COUNTIFS(FallbackEditor!$A:$A,$A189,FallbackEditor!$J:$J,"Y"))&gt;0,"mapped","unmapped")</f>
        <v>mapped</v>
      </c>
    </row>
    <row r="190" spans="1:4" x14ac:dyDescent="0.2">
      <c r="A190" t="s">
        <v>518</v>
      </c>
      <c r="B190" t="s">
        <v>87</v>
      </c>
      <c r="C190" t="s">
        <v>487</v>
      </c>
      <c r="D190" t="str">
        <f>IF((COUNTIFS(MappingEditor!$A:$A,$A190,MappingEditor!$J:$J,"Y")+COUNTIFS(FallbackEditor!$A:$A,$A190,FallbackEditor!$J:$J,"Y"))&gt;0,"mapped","unmapped")</f>
        <v>mapped</v>
      </c>
    </row>
    <row r="191" spans="1:4" x14ac:dyDescent="0.2">
      <c r="A191" t="s">
        <v>519</v>
      </c>
      <c r="B191" t="s">
        <v>87</v>
      </c>
      <c r="C191" t="s">
        <v>487</v>
      </c>
      <c r="D191" t="str">
        <f>IF((COUNTIFS(MappingEditor!$A:$A,$A191,MappingEditor!$J:$J,"Y")+COUNTIFS(FallbackEditor!$A:$A,$A191,FallbackEditor!$J:$J,"Y"))&gt;0,"mapped","unmapped")</f>
        <v>mapped</v>
      </c>
    </row>
    <row r="192" spans="1:4" x14ac:dyDescent="0.2">
      <c r="A192" t="s">
        <v>520</v>
      </c>
      <c r="B192" t="s">
        <v>87</v>
      </c>
      <c r="C192" t="s">
        <v>487</v>
      </c>
      <c r="D192" t="str">
        <f>IF((COUNTIFS(MappingEditor!$A:$A,$A192,MappingEditor!$J:$J,"Y")+COUNTIFS(FallbackEditor!$A:$A,$A192,FallbackEditor!$J:$J,"Y"))&gt;0,"mapped","unmapped")</f>
        <v>mapped</v>
      </c>
    </row>
    <row r="193" spans="1:4" x14ac:dyDescent="0.2">
      <c r="A193" t="s">
        <v>521</v>
      </c>
      <c r="B193" t="s">
        <v>79</v>
      </c>
      <c r="C193" t="s">
        <v>80</v>
      </c>
      <c r="D193" t="str">
        <f>IF((COUNTIFS(MappingEditor!$A:$A,$A193,MappingEditor!$J:$J,"Y")+COUNTIFS(FallbackEditor!$A:$A,$A193,FallbackEditor!$J:$J,"Y"))&gt;0,"mapped","unmapped")</f>
        <v>mapped</v>
      </c>
    </row>
    <row r="194" spans="1:4" x14ac:dyDescent="0.2">
      <c r="A194" t="s">
        <v>522</v>
      </c>
      <c r="B194" t="s">
        <v>87</v>
      </c>
      <c r="C194" t="s">
        <v>314</v>
      </c>
      <c r="D194" t="str">
        <f>IF((COUNTIFS(MappingEditor!$A:$A,$A194,MappingEditor!$J:$J,"Y")+COUNTIFS(FallbackEditor!$A:$A,$A194,FallbackEditor!$J:$J,"Y"))&gt;0,"mapped","unmapped")</f>
        <v>mapped</v>
      </c>
    </row>
    <row r="195" spans="1:4" x14ac:dyDescent="0.2">
      <c r="A195" t="s">
        <v>523</v>
      </c>
      <c r="B195" t="s">
        <v>87</v>
      </c>
      <c r="C195" t="s">
        <v>487</v>
      </c>
      <c r="D195" t="str">
        <f>IF((COUNTIFS(MappingEditor!$A:$A,$A195,MappingEditor!$J:$J,"Y")+COUNTIFS(FallbackEditor!$A:$A,$A195,FallbackEditor!$J:$J,"Y"))&gt;0,"mapped","unmapped")</f>
        <v>mapped</v>
      </c>
    </row>
    <row r="196" spans="1:4" x14ac:dyDescent="0.2">
      <c r="A196" t="s">
        <v>172</v>
      </c>
      <c r="B196" t="s">
        <v>15</v>
      </c>
      <c r="C196" t="s">
        <v>166</v>
      </c>
      <c r="D196" t="str">
        <f>IF((COUNTIFS(MappingEditor!$A:$A,$A196,MappingEditor!$J:$J,"Y")+COUNTIFS(FallbackEditor!$A:$A,$A196,FallbackEditor!$J:$J,"Y"))&gt;0,"mapped","unmapped")</f>
        <v>mapped</v>
      </c>
    </row>
    <row r="197" spans="1:4" x14ac:dyDescent="0.2">
      <c r="A197" t="s">
        <v>524</v>
      </c>
      <c r="B197" t="s">
        <v>87</v>
      </c>
      <c r="C197" t="s">
        <v>107</v>
      </c>
      <c r="D197" t="str">
        <f>IF((COUNTIFS(MappingEditor!$A:$A,$A197,MappingEditor!$J:$J,"Y")+COUNTIFS(FallbackEditor!$A:$A,$A197,FallbackEditor!$J:$J,"Y"))&gt;0,"mapped","unmapped")</f>
        <v>mapped</v>
      </c>
    </row>
    <row r="198" spans="1:4" x14ac:dyDescent="0.2">
      <c r="A198" t="s">
        <v>140</v>
      </c>
      <c r="B198" t="s">
        <v>87</v>
      </c>
      <c r="C198" t="s">
        <v>107</v>
      </c>
      <c r="D198" t="str">
        <f>IF((COUNTIFS(MappingEditor!$A:$A,$A198,MappingEditor!$J:$J,"Y")+COUNTIFS(FallbackEditor!$A:$A,$A198,FallbackEditor!$J:$J,"Y"))&gt;0,"mapped","unmapped")</f>
        <v>mapped</v>
      </c>
    </row>
    <row r="199" spans="1:4" x14ac:dyDescent="0.2">
      <c r="A199" t="s">
        <v>525</v>
      </c>
      <c r="B199" t="s">
        <v>130</v>
      </c>
      <c r="C199" t="s">
        <v>356</v>
      </c>
      <c r="D199" t="str">
        <f>IF((COUNTIFS(MappingEditor!$A:$A,$A199,MappingEditor!$J:$J,"Y")+COUNTIFS(FallbackEditor!$A:$A,$A199,FallbackEditor!$J:$J,"Y"))&gt;0,"mapped","unmapped")</f>
        <v>mapped</v>
      </c>
    </row>
    <row r="200" spans="1:4" x14ac:dyDescent="0.2">
      <c r="A200" t="s">
        <v>526</v>
      </c>
      <c r="B200" t="s">
        <v>87</v>
      </c>
      <c r="C200" t="s">
        <v>96</v>
      </c>
      <c r="D200" t="str">
        <f>IF((COUNTIFS(MappingEditor!$A:$A,$A200,MappingEditor!$J:$J,"Y")+COUNTIFS(FallbackEditor!$A:$A,$A200,FallbackEditor!$J:$J,"Y"))&gt;0,"mapped","unmapped")</f>
        <v>mapped</v>
      </c>
    </row>
    <row r="201" spans="1:4" x14ac:dyDescent="0.2">
      <c r="A201" t="s">
        <v>178</v>
      </c>
      <c r="B201" t="s">
        <v>87</v>
      </c>
      <c r="C201" t="s">
        <v>96</v>
      </c>
      <c r="D201" t="str">
        <f>IF((COUNTIFS(MappingEditor!$A:$A,$A201,MappingEditor!$J:$J,"Y")+COUNTIFS(FallbackEditor!$A:$A,$A201,FallbackEditor!$J:$J,"Y"))&gt;0,"mapped","unmapped")</f>
        <v>mapped</v>
      </c>
    </row>
    <row r="202" spans="1:4" x14ac:dyDescent="0.2">
      <c r="A202" t="s">
        <v>527</v>
      </c>
      <c r="B202" t="s">
        <v>87</v>
      </c>
      <c r="C202" t="s">
        <v>96</v>
      </c>
      <c r="D202" t="str">
        <f>IF((COUNTIFS(MappingEditor!$A:$A,$A202,MappingEditor!$J:$J,"Y")+COUNTIFS(FallbackEditor!$A:$A,$A202,FallbackEditor!$J:$J,"Y"))&gt;0,"mapped","unmapped")</f>
        <v>mapped</v>
      </c>
    </row>
    <row r="203" spans="1:4" x14ac:dyDescent="0.2">
      <c r="A203" t="s">
        <v>528</v>
      </c>
      <c r="B203" t="s">
        <v>87</v>
      </c>
      <c r="C203" t="s">
        <v>154</v>
      </c>
      <c r="D203" t="str">
        <f>IF((COUNTIFS(MappingEditor!$A:$A,$A203,MappingEditor!$J:$J,"Y")+COUNTIFS(FallbackEditor!$A:$A,$A203,FallbackEditor!$J:$J,"Y"))&gt;0,"mapped","unmapped")</f>
        <v>mapped</v>
      </c>
    </row>
    <row r="204" spans="1:4" x14ac:dyDescent="0.2">
      <c r="A204" t="s">
        <v>529</v>
      </c>
      <c r="B204" t="s">
        <v>87</v>
      </c>
      <c r="C204" t="s">
        <v>146</v>
      </c>
      <c r="D204" t="str">
        <f>IF((COUNTIFS(MappingEditor!$A:$A,$A204,MappingEditor!$J:$J,"Y")+COUNTIFS(FallbackEditor!$A:$A,$A204,FallbackEditor!$J:$J,"Y"))&gt;0,"mapped","unmapped")</f>
        <v>mapped</v>
      </c>
    </row>
    <row r="205" spans="1:4" x14ac:dyDescent="0.2">
      <c r="A205" t="s">
        <v>345</v>
      </c>
      <c r="B205" t="s">
        <v>130</v>
      </c>
      <c r="C205" t="s">
        <v>346</v>
      </c>
      <c r="D205" t="str">
        <f>IF((COUNTIFS(MappingEditor!$A:$A,$A205,MappingEditor!$J:$J,"Y")+COUNTIFS(FallbackEditor!$A:$A,$A205,FallbackEditor!$J:$J,"Y"))&gt;0,"mapped","unmapped")</f>
        <v>mapped</v>
      </c>
    </row>
    <row r="206" spans="1:4" x14ac:dyDescent="0.2">
      <c r="A206" t="s">
        <v>530</v>
      </c>
      <c r="B206" t="s">
        <v>278</v>
      </c>
      <c r="C206" t="s">
        <v>279</v>
      </c>
      <c r="D206" t="str">
        <f>IF((COUNTIFS(MappingEditor!$A:$A,$A206,MappingEditor!$J:$J,"Y")+COUNTIFS(FallbackEditor!$A:$A,$A206,FallbackEditor!$J:$J,"Y"))&gt;0,"mapped","unmapped")</f>
        <v>mapped</v>
      </c>
    </row>
    <row r="207" spans="1:4" x14ac:dyDescent="0.2">
      <c r="A207" t="s">
        <v>531</v>
      </c>
      <c r="B207" t="s">
        <v>278</v>
      </c>
      <c r="C207" t="s">
        <v>279</v>
      </c>
      <c r="D207" t="str">
        <f>IF((COUNTIFS(MappingEditor!$A:$A,$A207,MappingEditor!$J:$J,"Y")+COUNTIFS(FallbackEditor!$A:$A,$A207,FallbackEditor!$J:$J,"Y"))&gt;0,"mapped","unmapped")</f>
        <v>mapped</v>
      </c>
    </row>
    <row r="208" spans="1:4" x14ac:dyDescent="0.2">
      <c r="A208" t="s">
        <v>532</v>
      </c>
      <c r="B208" t="s">
        <v>278</v>
      </c>
      <c r="C208" t="s">
        <v>533</v>
      </c>
      <c r="D208" t="str">
        <f>IF((COUNTIFS(MappingEditor!$A:$A,$A208,MappingEditor!$J:$J,"Y")+COUNTIFS(FallbackEditor!$A:$A,$A208,FallbackEditor!$J:$J,"Y"))&gt;0,"mapped","unmapped")</f>
        <v>mapped</v>
      </c>
    </row>
    <row r="209" spans="1:4" x14ac:dyDescent="0.2">
      <c r="A209" t="s">
        <v>534</v>
      </c>
      <c r="B209" t="s">
        <v>278</v>
      </c>
      <c r="C209" t="s">
        <v>533</v>
      </c>
      <c r="D209" t="str">
        <f>IF((COUNTIFS(MappingEditor!$A:$A,$A209,MappingEditor!$J:$J,"Y")+COUNTIFS(FallbackEditor!$A:$A,$A209,FallbackEditor!$J:$J,"Y"))&gt;0,"mapped","unmapped")</f>
        <v>mapped</v>
      </c>
    </row>
    <row r="210" spans="1:4" x14ac:dyDescent="0.2">
      <c r="A210" t="s">
        <v>535</v>
      </c>
      <c r="B210" t="s">
        <v>278</v>
      </c>
      <c r="C210" t="s">
        <v>279</v>
      </c>
      <c r="D210" t="str">
        <f>IF((COUNTIFS(MappingEditor!$A:$A,$A210,MappingEditor!$J:$J,"Y")+COUNTIFS(FallbackEditor!$A:$A,$A210,FallbackEditor!$J:$J,"Y"))&gt;0,"mapped","unmapped")</f>
        <v>mapped</v>
      </c>
    </row>
    <row r="211" spans="1:4" x14ac:dyDescent="0.2">
      <c r="A211" t="s">
        <v>536</v>
      </c>
      <c r="B211" t="s">
        <v>278</v>
      </c>
      <c r="C211" t="s">
        <v>533</v>
      </c>
      <c r="D211" t="str">
        <f>IF((COUNTIFS(MappingEditor!$A:$A,$A211,MappingEditor!$J:$J,"Y")+COUNTIFS(FallbackEditor!$A:$A,$A211,FallbackEditor!$J:$J,"Y"))&gt;0,"mapped","unmapped")</f>
        <v>mapped</v>
      </c>
    </row>
    <row r="212" spans="1:4" x14ac:dyDescent="0.2">
      <c r="A212" t="s">
        <v>537</v>
      </c>
      <c r="B212" t="s">
        <v>87</v>
      </c>
      <c r="C212" t="s">
        <v>120</v>
      </c>
      <c r="D212" t="str">
        <f>IF((COUNTIFS(MappingEditor!$A:$A,$A212,MappingEditor!$J:$J,"Y")+COUNTIFS(FallbackEditor!$A:$A,$A212,FallbackEditor!$J:$J,"Y"))&gt;0,"mapped","unmapped")</f>
        <v>mapped</v>
      </c>
    </row>
    <row r="213" spans="1:4" x14ac:dyDescent="0.2">
      <c r="A213" t="s">
        <v>538</v>
      </c>
      <c r="B213" t="s">
        <v>130</v>
      </c>
      <c r="C213" t="s">
        <v>356</v>
      </c>
      <c r="D213" t="str">
        <f>IF((COUNTIFS(MappingEditor!$A:$A,$A213,MappingEditor!$J:$J,"Y")+COUNTIFS(FallbackEditor!$A:$A,$A213,FallbackEditor!$J:$J,"Y"))&gt;0,"mapped","unmapped")</f>
        <v>mapped</v>
      </c>
    </row>
    <row r="214" spans="1:4" x14ac:dyDescent="0.2">
      <c r="A214" t="s">
        <v>285</v>
      </c>
      <c r="B214" t="s">
        <v>278</v>
      </c>
      <c r="C214" t="s">
        <v>279</v>
      </c>
      <c r="D214" t="str">
        <f>IF((COUNTIFS(MappingEditor!$A:$A,$A214,MappingEditor!$J:$J,"Y")+COUNTIFS(FallbackEditor!$A:$A,$A214,FallbackEditor!$J:$J,"Y"))&gt;0,"mapped","unmapped")</f>
        <v>mapped</v>
      </c>
    </row>
    <row r="215" spans="1:4" x14ac:dyDescent="0.2">
      <c r="A215" t="s">
        <v>281</v>
      </c>
      <c r="B215" t="s">
        <v>278</v>
      </c>
      <c r="C215" t="s">
        <v>80</v>
      </c>
      <c r="D215" t="str">
        <f>IF((COUNTIFS(MappingEditor!$A:$A,$A215,MappingEditor!$J:$J,"Y")+COUNTIFS(FallbackEditor!$A:$A,$A215,FallbackEditor!$J:$J,"Y"))&gt;0,"mapped","unmapped")</f>
        <v>mapped</v>
      </c>
    </row>
    <row r="216" spans="1:4" x14ac:dyDescent="0.2">
      <c r="A216" t="s">
        <v>287</v>
      </c>
      <c r="B216" t="s">
        <v>278</v>
      </c>
      <c r="C216" t="s">
        <v>279</v>
      </c>
      <c r="D216" t="str">
        <f>IF((COUNTIFS(MappingEditor!$A:$A,$A216,MappingEditor!$J:$J,"Y")+COUNTIFS(FallbackEditor!$A:$A,$A216,FallbackEditor!$J:$J,"Y"))&gt;0,"mapped","unmapped")</f>
        <v>mapped</v>
      </c>
    </row>
    <row r="217" spans="1:4" x14ac:dyDescent="0.2">
      <c r="A217" t="s">
        <v>292</v>
      </c>
      <c r="B217" t="s">
        <v>278</v>
      </c>
      <c r="C217" t="s">
        <v>279</v>
      </c>
      <c r="D217" t="str">
        <f>IF((COUNTIFS(MappingEditor!$A:$A,$A217,MappingEditor!$J:$J,"Y")+COUNTIFS(FallbackEditor!$A:$A,$A217,FallbackEditor!$J:$J,"Y"))&gt;0,"mapped","unmapped")</f>
        <v>mapped</v>
      </c>
    </row>
    <row r="218" spans="1:4" x14ac:dyDescent="0.2">
      <c r="A218" t="s">
        <v>290</v>
      </c>
      <c r="B218" t="s">
        <v>278</v>
      </c>
      <c r="C218" t="s">
        <v>279</v>
      </c>
      <c r="D218" t="str">
        <f>IF((COUNTIFS(MappingEditor!$A:$A,$A218,MappingEditor!$J:$J,"Y")+COUNTIFS(FallbackEditor!$A:$A,$A218,FallbackEditor!$J:$J,"Y"))&gt;0,"mapped","unmapped")</f>
        <v>mapped</v>
      </c>
    </row>
    <row r="219" spans="1:4" x14ac:dyDescent="0.2">
      <c r="A219" t="s">
        <v>30</v>
      </c>
      <c r="B219" t="s">
        <v>15</v>
      </c>
      <c r="C219" t="s">
        <v>16</v>
      </c>
      <c r="D219" t="str">
        <f>IF((COUNTIFS(MappingEditor!$A:$A,$A219,MappingEditor!$J:$J,"Y")+COUNTIFS(FallbackEditor!$A:$A,$A219,FallbackEditor!$J:$J,"Y"))&gt;0,"mapped","unmapped")</f>
        <v>mapped</v>
      </c>
    </row>
    <row r="220" spans="1:4" x14ac:dyDescent="0.2">
      <c r="A220" t="s">
        <v>539</v>
      </c>
      <c r="B220" t="s">
        <v>15</v>
      </c>
      <c r="C220" t="s">
        <v>54</v>
      </c>
      <c r="D220" t="str">
        <f>IF((COUNTIFS(MappingEditor!$A:$A,$A220,MappingEditor!$J:$J,"Y")+COUNTIFS(FallbackEditor!$A:$A,$A220,FallbackEditor!$J:$J,"Y"))&gt;0,"mapped","unmapped")</f>
        <v>mapped</v>
      </c>
    </row>
    <row r="221" spans="1:4" x14ac:dyDescent="0.2">
      <c r="A221" t="s">
        <v>540</v>
      </c>
      <c r="B221" t="s">
        <v>87</v>
      </c>
      <c r="C221" t="s">
        <v>541</v>
      </c>
      <c r="D221" t="str">
        <f>IF((COUNTIFS(MappingEditor!$A:$A,$A221,MappingEditor!$J:$J,"Y")+COUNTIFS(FallbackEditor!$A:$A,$A221,FallbackEditor!$J:$J,"Y"))&gt;0,"mapped","unmapped")</f>
        <v>mapped</v>
      </c>
    </row>
    <row r="222" spans="1:4" x14ac:dyDescent="0.2">
      <c r="A222" t="s">
        <v>542</v>
      </c>
      <c r="B222" t="s">
        <v>87</v>
      </c>
      <c r="C222" t="s">
        <v>541</v>
      </c>
      <c r="D222" t="str">
        <f>IF((COUNTIFS(MappingEditor!$A:$A,$A222,MappingEditor!$J:$J,"Y")+COUNTIFS(FallbackEditor!$A:$A,$A222,FallbackEditor!$J:$J,"Y"))&gt;0,"mapped","unmapped")</f>
        <v>mapped</v>
      </c>
    </row>
    <row r="223" spans="1:4" x14ac:dyDescent="0.2">
      <c r="A223" t="s">
        <v>543</v>
      </c>
      <c r="B223" t="s">
        <v>15</v>
      </c>
      <c r="C223" t="s">
        <v>54</v>
      </c>
      <c r="D223" t="str">
        <f>IF((COUNTIFS(MappingEditor!$A:$A,$A223,MappingEditor!$J:$J,"Y")+COUNTIFS(FallbackEditor!$A:$A,$A223,FallbackEditor!$J:$J,"Y"))&gt;0,"mapped","unmapped")</f>
        <v>mapped</v>
      </c>
    </row>
    <row r="224" spans="1:4" x14ac:dyDescent="0.2">
      <c r="A224" t="s">
        <v>544</v>
      </c>
      <c r="B224" t="s">
        <v>15</v>
      </c>
      <c r="C224" t="s">
        <v>54</v>
      </c>
      <c r="D224" t="str">
        <f>IF((COUNTIFS(MappingEditor!$A:$A,$A224,MappingEditor!$J:$J,"Y")+COUNTIFS(FallbackEditor!$A:$A,$A224,FallbackEditor!$J:$J,"Y"))&gt;0,"mapped","unmapped")</f>
        <v>mapped</v>
      </c>
    </row>
    <row r="225" spans="1:4" x14ac:dyDescent="0.2">
      <c r="A225" t="s">
        <v>545</v>
      </c>
      <c r="B225" t="s">
        <v>40</v>
      </c>
      <c r="C225" t="s">
        <v>16</v>
      </c>
      <c r="D225" t="str">
        <f>IF((COUNTIFS(MappingEditor!$A:$A,$A225,MappingEditor!$J:$J,"Y")+COUNTIFS(FallbackEditor!$A:$A,$A225,FallbackEditor!$J:$J,"Y"))&gt;0,"mapped","unmapped")</f>
        <v>mapped</v>
      </c>
    </row>
    <row r="226" spans="1:4" x14ac:dyDescent="0.2">
      <c r="A226" t="s">
        <v>129</v>
      </c>
      <c r="B226" t="s">
        <v>130</v>
      </c>
      <c r="C226" t="s">
        <v>131</v>
      </c>
      <c r="D226" t="str">
        <f>IF((COUNTIFS(MappingEditor!$A:$A,$A226,MappingEditor!$J:$J,"Y")+COUNTIFS(FallbackEditor!$A:$A,$A226,FallbackEditor!$J:$J,"Y"))&gt;0,"mapped","unmapped")</f>
        <v>mapped</v>
      </c>
    </row>
    <row r="227" spans="1:4" x14ac:dyDescent="0.2">
      <c r="A227" t="s">
        <v>546</v>
      </c>
      <c r="B227" t="s">
        <v>384</v>
      </c>
      <c r="C227" t="s">
        <v>310</v>
      </c>
      <c r="D227" t="str">
        <f>IF((COUNTIFS(MappingEditor!$A:$A,$A227,MappingEditor!$J:$J,"Y")+COUNTIFS(FallbackEditor!$A:$A,$A227,FallbackEditor!$J:$J,"Y"))&gt;0,"mapped","unmapped")</f>
        <v>mapped</v>
      </c>
    </row>
    <row r="228" spans="1:4" x14ac:dyDescent="0.2">
      <c r="A228" t="s">
        <v>547</v>
      </c>
      <c r="B228" t="s">
        <v>384</v>
      </c>
      <c r="C228" t="s">
        <v>310</v>
      </c>
      <c r="D228" t="str">
        <f>IF((COUNTIFS(MappingEditor!$A:$A,$A228,MappingEditor!$J:$J,"Y")+COUNTIFS(FallbackEditor!$A:$A,$A228,FallbackEditor!$J:$J,"Y"))&gt;0,"mapped","unmapped")</f>
        <v>mapped</v>
      </c>
    </row>
    <row r="229" spans="1:4" x14ac:dyDescent="0.2">
      <c r="A229" t="s">
        <v>548</v>
      </c>
      <c r="B229" t="s">
        <v>40</v>
      </c>
      <c r="C229" t="s">
        <v>16</v>
      </c>
      <c r="D229" t="str">
        <f>IF((COUNTIFS(MappingEditor!$A:$A,$A229,MappingEditor!$J:$J,"Y")+COUNTIFS(FallbackEditor!$A:$A,$A229,FallbackEditor!$J:$J,"Y"))&gt;0,"mapped","unmapped")</f>
        <v>mapped</v>
      </c>
    </row>
    <row r="230" spans="1:4" x14ac:dyDescent="0.2">
      <c r="A230" t="s">
        <v>549</v>
      </c>
      <c r="B230" t="s">
        <v>130</v>
      </c>
      <c r="C230" t="s">
        <v>16</v>
      </c>
      <c r="D230" t="str">
        <f>IF((COUNTIFS(MappingEditor!$A:$A,$A230,MappingEditor!$J:$J,"Y")+COUNTIFS(FallbackEditor!$A:$A,$A230,FallbackEditor!$J:$J,"Y"))&gt;0,"mapped","unmapped")</f>
        <v>mapped</v>
      </c>
    </row>
    <row r="231" spans="1:4" x14ac:dyDescent="0.2">
      <c r="A231" t="s">
        <v>134</v>
      </c>
      <c r="B231" t="s">
        <v>15</v>
      </c>
      <c r="C231" t="s">
        <v>135</v>
      </c>
      <c r="D231" t="str">
        <f>IF((COUNTIFS(MappingEditor!$A:$A,$A231,MappingEditor!$J:$J,"Y")+COUNTIFS(FallbackEditor!$A:$A,$A231,FallbackEditor!$J:$J,"Y"))&gt;0,"mapped","unmapped")</f>
        <v>mapped</v>
      </c>
    </row>
    <row r="232" spans="1:4" x14ac:dyDescent="0.2">
      <c r="A232" t="s">
        <v>550</v>
      </c>
      <c r="B232" t="s">
        <v>79</v>
      </c>
      <c r="C232" t="s">
        <v>80</v>
      </c>
      <c r="D232" t="str">
        <f>IF((COUNTIFS(MappingEditor!$A:$A,$A232,MappingEditor!$J:$J,"Y")+COUNTIFS(FallbackEditor!$A:$A,$A232,FallbackEditor!$J:$J,"Y"))&gt;0,"mapped","unmapped")</f>
        <v>mapped</v>
      </c>
    </row>
    <row r="233" spans="1:4" x14ac:dyDescent="0.2">
      <c r="A233" t="s">
        <v>551</v>
      </c>
      <c r="B233" t="s">
        <v>87</v>
      </c>
      <c r="C233" t="s">
        <v>120</v>
      </c>
      <c r="D233" t="str">
        <f>IF((COUNTIFS(MappingEditor!$A:$A,$A233,MappingEditor!$J:$J,"Y")+COUNTIFS(FallbackEditor!$A:$A,$A233,FallbackEditor!$J:$J,"Y"))&gt;0,"mapped","unmapped")</f>
        <v>mapped</v>
      </c>
    </row>
    <row r="234" spans="1:4" x14ac:dyDescent="0.2">
      <c r="A234" t="s">
        <v>552</v>
      </c>
      <c r="B234" t="s">
        <v>87</v>
      </c>
      <c r="C234" t="s">
        <v>107</v>
      </c>
      <c r="D234" t="str">
        <f>IF((COUNTIFS(MappingEditor!$A:$A,$A234,MappingEditor!$J:$J,"Y")+COUNTIFS(FallbackEditor!$A:$A,$A234,FallbackEditor!$J:$J,"Y"))&gt;0,"mapped","unmapped")</f>
        <v>mapped</v>
      </c>
    </row>
    <row r="235" spans="1:4" x14ac:dyDescent="0.2">
      <c r="A235" t="s">
        <v>165</v>
      </c>
      <c r="B235" t="s">
        <v>15</v>
      </c>
      <c r="C235" t="s">
        <v>166</v>
      </c>
      <c r="D235" t="str">
        <f>IF((COUNTIFS(MappingEditor!$A:$A,$A235,MappingEditor!$J:$J,"Y")+COUNTIFS(FallbackEditor!$A:$A,$A235,FallbackEditor!$J:$J,"Y"))&gt;0,"mapped","unmapped")</f>
        <v>mapped</v>
      </c>
    </row>
    <row r="236" spans="1:4" x14ac:dyDescent="0.2">
      <c r="A236" t="s">
        <v>553</v>
      </c>
      <c r="B236" t="s">
        <v>40</v>
      </c>
      <c r="C236" t="s">
        <v>16</v>
      </c>
      <c r="D236" t="str">
        <f>IF((COUNTIFS(MappingEditor!$A:$A,$A236,MappingEditor!$J:$J,"Y")+COUNTIFS(FallbackEditor!$A:$A,$A236,FallbackEditor!$J:$J,"Y"))&gt;0,"mapped","unmapped")</f>
        <v>mapped</v>
      </c>
    </row>
    <row r="237" spans="1:4" x14ac:dyDescent="0.2">
      <c r="A237" t="s">
        <v>161</v>
      </c>
      <c r="B237" t="s">
        <v>87</v>
      </c>
      <c r="C237" t="s">
        <v>96</v>
      </c>
      <c r="D237" t="str">
        <f>IF((COUNTIFS(MappingEditor!$A:$A,$A237,MappingEditor!$J:$J,"Y")+COUNTIFS(FallbackEditor!$A:$A,$A237,FallbackEditor!$J:$J,"Y"))&gt;0,"mapped","unmapped")</f>
        <v>mapped</v>
      </c>
    </row>
    <row r="238" spans="1:4" x14ac:dyDescent="0.2">
      <c r="A238" t="s">
        <v>554</v>
      </c>
      <c r="B238" t="s">
        <v>130</v>
      </c>
      <c r="C238" t="s">
        <v>393</v>
      </c>
      <c r="D238" t="str">
        <f>IF((COUNTIFS(MappingEditor!$A:$A,$A238,MappingEditor!$J:$J,"Y")+COUNTIFS(FallbackEditor!$A:$A,$A238,FallbackEditor!$J:$J,"Y"))&gt;0,"mapped","unmapped")</f>
        <v>mapped</v>
      </c>
    </row>
    <row r="239" spans="1:4" x14ac:dyDescent="0.2">
      <c r="A239" t="s">
        <v>555</v>
      </c>
      <c r="B239" t="s">
        <v>130</v>
      </c>
      <c r="C239" t="s">
        <v>393</v>
      </c>
      <c r="D239" t="str">
        <f>IF((COUNTIFS(MappingEditor!$A:$A,$A239,MappingEditor!$J:$J,"Y")+COUNTIFS(FallbackEditor!$A:$A,$A239,FallbackEditor!$J:$J,"Y"))&gt;0,"mapped","unmapped")</f>
        <v>mapped</v>
      </c>
    </row>
    <row r="240" spans="1:4" x14ac:dyDescent="0.2">
      <c r="A240" t="s">
        <v>556</v>
      </c>
      <c r="B240" t="s">
        <v>130</v>
      </c>
      <c r="C240" t="s">
        <v>393</v>
      </c>
      <c r="D240" t="str">
        <f>IF((COUNTIFS(MappingEditor!$A:$A,$A240,MappingEditor!$J:$J,"Y")+COUNTIFS(FallbackEditor!$A:$A,$A240,FallbackEditor!$J:$J,"Y"))&gt;0,"mapped","unmapped")</f>
        <v>mapped</v>
      </c>
    </row>
    <row r="241" spans="1:4" x14ac:dyDescent="0.2">
      <c r="A241" t="s">
        <v>557</v>
      </c>
      <c r="B241" t="s">
        <v>249</v>
      </c>
      <c r="C241" t="s">
        <v>381</v>
      </c>
      <c r="D241" t="str">
        <f>IF((COUNTIFS(MappingEditor!$A:$A,$A241,MappingEditor!$J:$J,"Y")+COUNTIFS(FallbackEditor!$A:$A,$A241,FallbackEditor!$J:$J,"Y"))&gt;0,"mapped","unmapped")</f>
        <v>mapped</v>
      </c>
    </row>
    <row r="242" spans="1:4" x14ac:dyDescent="0.2">
      <c r="A242" t="s">
        <v>558</v>
      </c>
      <c r="B242" t="s">
        <v>87</v>
      </c>
      <c r="C242" t="s">
        <v>541</v>
      </c>
      <c r="D242" t="str">
        <f>IF((COUNTIFS(MappingEditor!$A:$A,$A242,MappingEditor!$J:$J,"Y")+COUNTIFS(FallbackEditor!$A:$A,$A242,FallbackEditor!$J:$J,"Y"))&gt;0,"mapped","unmapped")</f>
        <v>mapped</v>
      </c>
    </row>
    <row r="243" spans="1:4" x14ac:dyDescent="0.2">
      <c r="A243" t="s">
        <v>181</v>
      </c>
      <c r="B243" t="s">
        <v>87</v>
      </c>
      <c r="C243" t="s">
        <v>182</v>
      </c>
      <c r="D243" t="str">
        <f>IF((COUNTIFS(MappingEditor!$A:$A,$A243,MappingEditor!$J:$J,"Y")+COUNTIFS(FallbackEditor!$A:$A,$A243,FallbackEditor!$J:$J,"Y"))&gt;0,"mapped","unmapped")</f>
        <v>mapped</v>
      </c>
    </row>
    <row r="244" spans="1:4" x14ac:dyDescent="0.2">
      <c r="A244" t="s">
        <v>559</v>
      </c>
      <c r="B244" t="s">
        <v>87</v>
      </c>
      <c r="C244" t="s">
        <v>182</v>
      </c>
      <c r="D244" t="str">
        <f>IF((COUNTIFS(MappingEditor!$A:$A,$A244,MappingEditor!$J:$J,"Y")+COUNTIFS(FallbackEditor!$A:$A,$A244,FallbackEditor!$J:$J,"Y"))&gt;0,"mapped","unmapped")</f>
        <v>mapped</v>
      </c>
    </row>
    <row r="245" spans="1:4" x14ac:dyDescent="0.2">
      <c r="A245" t="s">
        <v>560</v>
      </c>
      <c r="B245" t="s">
        <v>79</v>
      </c>
      <c r="C245" t="s">
        <v>80</v>
      </c>
      <c r="D245" t="str">
        <f>IF((COUNTIFS(MappingEditor!$A:$A,$A245,MappingEditor!$J:$J,"Y")+COUNTIFS(FallbackEditor!$A:$A,$A245,FallbackEditor!$J:$J,"Y"))&gt;0,"mapped","unmapped")</f>
        <v>mapped</v>
      </c>
    </row>
    <row r="246" spans="1:4" x14ac:dyDescent="0.2">
      <c r="A246" t="s">
        <v>561</v>
      </c>
      <c r="B246" t="s">
        <v>87</v>
      </c>
      <c r="C246" t="s">
        <v>154</v>
      </c>
      <c r="D246" t="str">
        <f>IF((COUNTIFS(MappingEditor!$A:$A,$A246,MappingEditor!$J:$J,"Y")+COUNTIFS(FallbackEditor!$A:$A,$A246,FallbackEditor!$J:$J,"Y"))&gt;0,"mapped","unmapped")</f>
        <v>mapped</v>
      </c>
    </row>
    <row r="247" spans="1:4" x14ac:dyDescent="0.2">
      <c r="A247" t="s">
        <v>562</v>
      </c>
      <c r="B247" t="s">
        <v>87</v>
      </c>
      <c r="C247" t="s">
        <v>107</v>
      </c>
      <c r="D247" t="str">
        <f>IF((COUNTIFS(MappingEditor!$A:$A,$A247,MappingEditor!$J:$J,"Y")+COUNTIFS(FallbackEditor!$A:$A,$A247,FallbackEditor!$J:$J,"Y"))&gt;0,"mapped","unmapped")</f>
        <v>mapped</v>
      </c>
    </row>
    <row r="248" spans="1:4" x14ac:dyDescent="0.2">
      <c r="A248" t="s">
        <v>563</v>
      </c>
      <c r="B248" t="s">
        <v>384</v>
      </c>
      <c r="C248" t="s">
        <v>564</v>
      </c>
      <c r="D248" t="str">
        <f>IF((COUNTIFS(MappingEditor!$A:$A,$A248,MappingEditor!$J:$J,"Y")+COUNTIFS(FallbackEditor!$A:$A,$A248,FallbackEditor!$J:$J,"Y"))&gt;0,"mapped","unmapped")</f>
        <v>mapped</v>
      </c>
    </row>
    <row r="249" spans="1:4" x14ac:dyDescent="0.2">
      <c r="A249" t="s">
        <v>565</v>
      </c>
      <c r="B249" t="s">
        <v>130</v>
      </c>
      <c r="C249" t="s">
        <v>356</v>
      </c>
      <c r="D249" t="str">
        <f>IF((COUNTIFS(MappingEditor!$A:$A,$A249,MappingEditor!$J:$J,"Y")+COUNTIFS(FallbackEditor!$A:$A,$A249,FallbackEditor!$J:$J,"Y"))&gt;0,"mapped","unmapped")</f>
        <v>mapped</v>
      </c>
    </row>
    <row r="250" spans="1:4" x14ac:dyDescent="0.2">
      <c r="A250" t="s">
        <v>78</v>
      </c>
      <c r="B250" t="s">
        <v>79</v>
      </c>
      <c r="C250" t="s">
        <v>80</v>
      </c>
      <c r="D250" t="str">
        <f>IF((COUNTIFS(MappingEditor!$A:$A,$A250,MappingEditor!$J:$J,"Y")+COUNTIFS(FallbackEditor!$A:$A,$A250,FallbackEditor!$J:$J,"Y"))&gt;0,"mapped","unmapped")</f>
        <v>mapped</v>
      </c>
    </row>
    <row r="251" spans="1:4" x14ac:dyDescent="0.2">
      <c r="A251" t="s">
        <v>566</v>
      </c>
      <c r="B251" t="s">
        <v>130</v>
      </c>
      <c r="C251" t="s">
        <v>356</v>
      </c>
      <c r="D251" t="str">
        <f>IF((COUNTIFS(MappingEditor!$A:$A,$A251,MappingEditor!$J:$J,"Y")+COUNTIFS(FallbackEditor!$A:$A,$A251,FallbackEditor!$J:$J,"Y"))&gt;0,"mapped","unmapped")</f>
        <v>mapped</v>
      </c>
    </row>
    <row r="252" spans="1:4" x14ac:dyDescent="0.2">
      <c r="A252" t="s">
        <v>567</v>
      </c>
      <c r="B252" t="s">
        <v>384</v>
      </c>
      <c r="C252" t="s">
        <v>388</v>
      </c>
      <c r="D252" t="str">
        <f>IF((COUNTIFS(MappingEditor!$A:$A,$A252,MappingEditor!$J:$J,"Y")+COUNTIFS(FallbackEditor!$A:$A,$A252,FallbackEditor!$J:$J,"Y"))&gt;0,"mapped","unmapped")</f>
        <v>mapped</v>
      </c>
    </row>
    <row r="253" spans="1:4" x14ac:dyDescent="0.2">
      <c r="A253" t="s">
        <v>568</v>
      </c>
      <c r="B253" t="s">
        <v>384</v>
      </c>
      <c r="C253" t="s">
        <v>388</v>
      </c>
      <c r="D253" t="str">
        <f>IF((COUNTIFS(MappingEditor!$A:$A,$A253,MappingEditor!$J:$J,"Y")+COUNTIFS(FallbackEditor!$A:$A,$A253,FallbackEditor!$J:$J,"Y"))&gt;0,"mapped","unmapped")</f>
        <v>mapped</v>
      </c>
    </row>
    <row r="254" spans="1:4" x14ac:dyDescent="0.2">
      <c r="A254" t="s">
        <v>569</v>
      </c>
      <c r="B254" t="s">
        <v>384</v>
      </c>
      <c r="C254" t="s">
        <v>388</v>
      </c>
      <c r="D254" t="str">
        <f>IF((COUNTIFS(MappingEditor!$A:$A,$A254,MappingEditor!$J:$J,"Y")+COUNTIFS(FallbackEditor!$A:$A,$A254,FallbackEditor!$J:$J,"Y"))&gt;0,"mapped","unmapped")</f>
        <v>mapped</v>
      </c>
    </row>
    <row r="255" spans="1:4" x14ac:dyDescent="0.2">
      <c r="A255" t="s">
        <v>570</v>
      </c>
      <c r="B255" t="s">
        <v>87</v>
      </c>
      <c r="C255" t="s">
        <v>310</v>
      </c>
      <c r="D255" t="str">
        <f>IF((COUNTIFS(MappingEditor!$A:$A,$A255,MappingEditor!$J:$J,"Y")+COUNTIFS(FallbackEditor!$A:$A,$A255,FallbackEditor!$J:$J,"Y"))&gt;0,"mapped","unmapped")</f>
        <v>mapped</v>
      </c>
    </row>
    <row r="256" spans="1:4" x14ac:dyDescent="0.2">
      <c r="A256" t="s">
        <v>312</v>
      </c>
      <c r="B256" t="s">
        <v>249</v>
      </c>
      <c r="C256" t="s">
        <v>16</v>
      </c>
      <c r="D256" t="str">
        <f>IF((COUNTIFS(MappingEditor!$A:$A,$A256,MappingEditor!$J:$J,"Y")+COUNTIFS(FallbackEditor!$A:$A,$A256,FallbackEditor!$J:$J,"Y"))&gt;0,"mapped","unmapped")</f>
        <v>mapped</v>
      </c>
    </row>
    <row r="257" spans="1:4" x14ac:dyDescent="0.2">
      <c r="A257" t="s">
        <v>571</v>
      </c>
      <c r="B257" t="s">
        <v>40</v>
      </c>
      <c r="C257" t="s">
        <v>16</v>
      </c>
      <c r="D257" t="str">
        <f>IF((COUNTIFS(MappingEditor!$A:$A,$A257,MappingEditor!$J:$J,"Y")+COUNTIFS(FallbackEditor!$A:$A,$A257,FallbackEditor!$J:$J,"Y"))&gt;0,"mapped","unmapped")</f>
        <v>mapped</v>
      </c>
    </row>
    <row r="258" spans="1:4" x14ac:dyDescent="0.2">
      <c r="A258" t="s">
        <v>103</v>
      </c>
      <c r="B258" t="s">
        <v>87</v>
      </c>
      <c r="C258" t="s">
        <v>80</v>
      </c>
      <c r="D258" t="str">
        <f>IF((COUNTIFS(MappingEditor!$A:$A,$A258,MappingEditor!$J:$J,"Y")+COUNTIFS(FallbackEditor!$A:$A,$A258,FallbackEditor!$J:$J,"Y"))&gt;0,"mapped","unmapped")</f>
        <v>mapped</v>
      </c>
    </row>
    <row r="259" spans="1:4" x14ac:dyDescent="0.2">
      <c r="A259" t="s">
        <v>572</v>
      </c>
      <c r="B259" t="s">
        <v>87</v>
      </c>
      <c r="C259" t="s">
        <v>96</v>
      </c>
      <c r="D259" t="str">
        <f>IF((COUNTIFS(MappingEditor!$A:$A,$A259,MappingEditor!$J:$J,"Y")+COUNTIFS(FallbackEditor!$A:$A,$A259,FallbackEditor!$J:$J,"Y"))&gt;0,"mapped","unmapped")</f>
        <v>mapped</v>
      </c>
    </row>
    <row r="260" spans="1:4" x14ac:dyDescent="0.2">
      <c r="A260" t="s">
        <v>573</v>
      </c>
      <c r="B260" t="s">
        <v>87</v>
      </c>
      <c r="C260" t="s">
        <v>96</v>
      </c>
      <c r="D260" t="str">
        <f>IF((COUNTIFS(MappingEditor!$A:$A,$A260,MappingEditor!$J:$J,"Y")+COUNTIFS(FallbackEditor!$A:$A,$A260,FallbackEditor!$J:$J,"Y"))&gt;0,"mapped","unmapped")</f>
        <v>mapped</v>
      </c>
    </row>
    <row r="261" spans="1:4" x14ac:dyDescent="0.2">
      <c r="A261" t="s">
        <v>574</v>
      </c>
      <c r="B261" t="s">
        <v>130</v>
      </c>
      <c r="C261" t="s">
        <v>443</v>
      </c>
      <c r="D261" t="str">
        <f>IF((COUNTIFS(MappingEditor!$A:$A,$A261,MappingEditor!$J:$J,"Y")+COUNTIFS(FallbackEditor!$A:$A,$A261,FallbackEditor!$J:$J,"Y"))&gt;0,"mapped","unmapped")</f>
        <v>mapped</v>
      </c>
    </row>
    <row r="262" spans="1:4" x14ac:dyDescent="0.2">
      <c r="A262" t="s">
        <v>95</v>
      </c>
      <c r="B262" t="s">
        <v>87</v>
      </c>
      <c r="C262" t="s">
        <v>96</v>
      </c>
      <c r="D262" t="str">
        <f>IF((COUNTIFS(MappingEditor!$A:$A,$A262,MappingEditor!$J:$J,"Y")+COUNTIFS(FallbackEditor!$A:$A,$A262,FallbackEditor!$J:$J,"Y"))&gt;0,"mapped","unmapped")</f>
        <v>mapped</v>
      </c>
    </row>
    <row r="263" spans="1:4" x14ac:dyDescent="0.2">
      <c r="A263" t="s">
        <v>575</v>
      </c>
      <c r="B263" t="s">
        <v>130</v>
      </c>
      <c r="C263" t="s">
        <v>262</v>
      </c>
      <c r="D263" t="str">
        <f>IF((COUNTIFS(MappingEditor!$A:$A,$A263,MappingEditor!$J:$J,"Y")+COUNTIFS(FallbackEditor!$A:$A,$A263,FallbackEditor!$J:$J,"Y"))&gt;0,"mapped","unmapped")</f>
        <v>mapped</v>
      </c>
    </row>
    <row r="264" spans="1:4" x14ac:dyDescent="0.2">
      <c r="A264" t="s">
        <v>576</v>
      </c>
      <c r="B264" t="s">
        <v>130</v>
      </c>
      <c r="C264" t="s">
        <v>16</v>
      </c>
      <c r="D264" t="str">
        <f>IF((COUNTIFS(MappingEditor!$A:$A,$A264,MappingEditor!$J:$J,"Y")+COUNTIFS(FallbackEditor!$A:$A,$A264,FallbackEditor!$J:$J,"Y"))&gt;0,"mapped","unmapped")</f>
        <v>mapped</v>
      </c>
    </row>
    <row r="265" spans="1:4" x14ac:dyDescent="0.2">
      <c r="A265" t="s">
        <v>265</v>
      </c>
      <c r="B265" t="s">
        <v>130</v>
      </c>
      <c r="C265" t="s">
        <v>266</v>
      </c>
      <c r="D265" t="str">
        <f>IF((COUNTIFS(MappingEditor!$A:$A,$A265,MappingEditor!$J:$J,"Y")+COUNTIFS(FallbackEditor!$A:$A,$A265,FallbackEditor!$J:$J,"Y"))&gt;0,"mapped","unmapped")</f>
        <v>mapped</v>
      </c>
    </row>
    <row r="266" spans="1:4" x14ac:dyDescent="0.2">
      <c r="A266" t="s">
        <v>577</v>
      </c>
      <c r="B266" t="s">
        <v>130</v>
      </c>
      <c r="C266" t="s">
        <v>266</v>
      </c>
      <c r="D266" t="str">
        <f>IF((COUNTIFS(MappingEditor!$A:$A,$A266,MappingEditor!$J:$J,"Y")+COUNTIFS(FallbackEditor!$A:$A,$A266,FallbackEditor!$J:$J,"Y"))&gt;0,"mapped","unmapped")</f>
        <v>mapped</v>
      </c>
    </row>
    <row r="267" spans="1:4" x14ac:dyDescent="0.2">
      <c r="A267" t="s">
        <v>268</v>
      </c>
      <c r="B267" t="s">
        <v>130</v>
      </c>
      <c r="C267" t="s">
        <v>266</v>
      </c>
      <c r="D267" t="str">
        <f>IF((COUNTIFS(MappingEditor!$A:$A,$A267,MappingEditor!$J:$J,"Y")+COUNTIFS(FallbackEditor!$A:$A,$A267,FallbackEditor!$J:$J,"Y"))&gt;0,"mapped","unmapped")</f>
        <v>mapped</v>
      </c>
    </row>
    <row r="268" spans="1:4" x14ac:dyDescent="0.2">
      <c r="A268" t="s">
        <v>578</v>
      </c>
      <c r="B268" t="s">
        <v>130</v>
      </c>
      <c r="C268" t="s">
        <v>266</v>
      </c>
      <c r="D268" t="str">
        <f>IF((COUNTIFS(MappingEditor!$A:$A,$A268,MappingEditor!$J:$J,"Y")+COUNTIFS(FallbackEditor!$A:$A,$A268,FallbackEditor!$J:$J,"Y"))&gt;0,"mapped","unmapped")</f>
        <v>mapped</v>
      </c>
    </row>
    <row r="269" spans="1:4" x14ac:dyDescent="0.2">
      <c r="A269" t="s">
        <v>579</v>
      </c>
      <c r="B269" t="s">
        <v>130</v>
      </c>
      <c r="C269" t="s">
        <v>262</v>
      </c>
      <c r="D269" t="str">
        <f>IF((COUNTIFS(MappingEditor!$A:$A,$A269,MappingEditor!$J:$J,"Y")+COUNTIFS(FallbackEditor!$A:$A,$A269,FallbackEditor!$J:$J,"Y"))&gt;0,"mapped","unmapped")</f>
        <v>mapped</v>
      </c>
    </row>
    <row r="270" spans="1:4" x14ac:dyDescent="0.2">
      <c r="A270" t="s">
        <v>580</v>
      </c>
      <c r="B270" t="s">
        <v>130</v>
      </c>
      <c r="C270" t="s">
        <v>16</v>
      </c>
      <c r="D270" t="str">
        <f>IF((COUNTIFS(MappingEditor!$A:$A,$A270,MappingEditor!$J:$J,"Y")+COUNTIFS(FallbackEditor!$A:$A,$A270,FallbackEditor!$J:$J,"Y"))&gt;0,"mapped","unmapped")</f>
        <v>mapped</v>
      </c>
    </row>
    <row r="271" spans="1:4" x14ac:dyDescent="0.2">
      <c r="A271" t="s">
        <v>256</v>
      </c>
      <c r="B271" t="s">
        <v>130</v>
      </c>
      <c r="C271" t="s">
        <v>16</v>
      </c>
      <c r="D271" t="str">
        <f>IF((COUNTIFS(MappingEditor!$A:$A,$A271,MappingEditor!$J:$J,"Y")+COUNTIFS(FallbackEditor!$A:$A,$A271,FallbackEditor!$J:$J,"Y"))&gt;0,"mapped","unmapped")</f>
        <v>mapped</v>
      </c>
    </row>
    <row r="272" spans="1:4" x14ac:dyDescent="0.2">
      <c r="A272" t="s">
        <v>261</v>
      </c>
      <c r="B272" t="s">
        <v>130</v>
      </c>
      <c r="C272" t="s">
        <v>262</v>
      </c>
      <c r="D272" t="str">
        <f>IF((COUNTIFS(MappingEditor!$A:$A,$A272,MappingEditor!$J:$J,"Y")+COUNTIFS(FallbackEditor!$A:$A,$A272,FallbackEditor!$J:$J,"Y"))&gt;0,"mapped","unmapped")</f>
        <v>mapped</v>
      </c>
    </row>
    <row r="273" spans="1:4" x14ac:dyDescent="0.2">
      <c r="A273" t="s">
        <v>581</v>
      </c>
      <c r="B273" t="s">
        <v>130</v>
      </c>
      <c r="C273" t="s">
        <v>262</v>
      </c>
      <c r="D273" t="str">
        <f>IF((COUNTIFS(MappingEditor!$A:$A,$A273,MappingEditor!$J:$J,"Y")+COUNTIFS(FallbackEditor!$A:$A,$A273,FallbackEditor!$J:$J,"Y"))&gt;0,"mapped","unmapped")</f>
        <v>mapped</v>
      </c>
    </row>
    <row r="274" spans="1:4" x14ac:dyDescent="0.2">
      <c r="A274" t="s">
        <v>254</v>
      </c>
      <c r="B274" t="s">
        <v>130</v>
      </c>
      <c r="C274" t="s">
        <v>16</v>
      </c>
      <c r="D274" t="str">
        <f>IF((COUNTIFS(MappingEditor!$A:$A,$A274,MappingEditor!$J:$J,"Y")+COUNTIFS(FallbackEditor!$A:$A,$A274,FallbackEditor!$J:$J,"Y"))&gt;0,"mapped","unmapped")</f>
        <v>mapped</v>
      </c>
    </row>
    <row r="275" spans="1:4" x14ac:dyDescent="0.2">
      <c r="A275" t="s">
        <v>582</v>
      </c>
      <c r="B275" t="s">
        <v>130</v>
      </c>
      <c r="C275" t="s">
        <v>16</v>
      </c>
      <c r="D275" t="str">
        <f>IF((COUNTIFS(MappingEditor!$A:$A,$A275,MappingEditor!$J:$J,"Y")+COUNTIFS(FallbackEditor!$A:$A,$A275,FallbackEditor!$J:$J,"Y"))&gt;0,"mapped","unmapped")</f>
        <v>mapped</v>
      </c>
    </row>
    <row r="276" spans="1:4" x14ac:dyDescent="0.2">
      <c r="A276" t="s">
        <v>583</v>
      </c>
      <c r="B276" t="s">
        <v>130</v>
      </c>
      <c r="C276" t="s">
        <v>16</v>
      </c>
      <c r="D276" t="str">
        <f>IF((COUNTIFS(MappingEditor!$A:$A,$A276,MappingEditor!$J:$J,"Y")+COUNTIFS(FallbackEditor!$A:$A,$A276,FallbackEditor!$J:$J,"Y"))&gt;0,"mapped","unmapped")</f>
        <v>mapped</v>
      </c>
    </row>
    <row r="277" spans="1:4" x14ac:dyDescent="0.2">
      <c r="A277" t="s">
        <v>584</v>
      </c>
      <c r="B277" t="s">
        <v>40</v>
      </c>
      <c r="C277" t="s">
        <v>228</v>
      </c>
      <c r="D277" t="str">
        <f>IF((COUNTIFS(MappingEditor!$A:$A,$A277,MappingEditor!$J:$J,"Y")+COUNTIFS(FallbackEditor!$A:$A,$A277,FallbackEditor!$J:$J,"Y"))&gt;0,"mapped","unmapped")</f>
        <v>mapped</v>
      </c>
    </row>
    <row r="278" spans="1:4" x14ac:dyDescent="0.2">
      <c r="A278" t="s">
        <v>585</v>
      </c>
      <c r="B278" t="s">
        <v>130</v>
      </c>
      <c r="C278" t="s">
        <v>16</v>
      </c>
      <c r="D278" t="str">
        <f>IF((COUNTIFS(MappingEditor!$A:$A,$A278,MappingEditor!$J:$J,"Y")+COUNTIFS(FallbackEditor!$A:$A,$A278,FallbackEditor!$J:$J,"Y"))&gt;0,"mapped","unmapped")</f>
        <v>mapped</v>
      </c>
    </row>
    <row r="279" spans="1:4" x14ac:dyDescent="0.2">
      <c r="A279" t="s">
        <v>586</v>
      </c>
      <c r="B279" t="s">
        <v>130</v>
      </c>
      <c r="C279" t="s">
        <v>120</v>
      </c>
      <c r="D279" t="str">
        <f>IF((COUNTIFS(MappingEditor!$A:$A,$A279,MappingEditor!$J:$J,"Y")+COUNTIFS(FallbackEditor!$A:$A,$A279,FallbackEditor!$J:$J,"Y"))&gt;0,"mapped","unmapped")</f>
        <v>mapped</v>
      </c>
    </row>
    <row r="280" spans="1:4" x14ac:dyDescent="0.2">
      <c r="A280" t="s">
        <v>587</v>
      </c>
      <c r="B280" t="s">
        <v>130</v>
      </c>
      <c r="C280" t="s">
        <v>16</v>
      </c>
      <c r="D280" t="str">
        <f>IF((COUNTIFS(MappingEditor!$A:$A,$A280,MappingEditor!$J:$J,"Y")+COUNTIFS(FallbackEditor!$A:$A,$A280,FallbackEditor!$J:$J,"Y"))&gt;0,"mapped","unmapped")</f>
        <v>mapped</v>
      </c>
    </row>
    <row r="281" spans="1:4" x14ac:dyDescent="0.2">
      <c r="A281" t="s">
        <v>588</v>
      </c>
      <c r="B281" t="s">
        <v>130</v>
      </c>
      <c r="C281" t="s">
        <v>266</v>
      </c>
      <c r="D281" t="str">
        <f>IF((COUNTIFS(MappingEditor!$A:$A,$A281,MappingEditor!$J:$J,"Y")+COUNTIFS(FallbackEditor!$A:$A,$A281,FallbackEditor!$J:$J,"Y"))&gt;0,"mapped","unmapped")</f>
        <v>mapped</v>
      </c>
    </row>
    <row r="282" spans="1:4" x14ac:dyDescent="0.2">
      <c r="A282" t="s">
        <v>589</v>
      </c>
      <c r="B282" t="s">
        <v>130</v>
      </c>
      <c r="C282" t="s">
        <v>262</v>
      </c>
      <c r="D282" t="str">
        <f>IF((COUNTIFS(MappingEditor!$A:$A,$A282,MappingEditor!$J:$J,"Y")+COUNTIFS(FallbackEditor!$A:$A,$A282,FallbackEditor!$J:$J,"Y"))&gt;0,"mapped","unmapped")</f>
        <v>mapped</v>
      </c>
    </row>
    <row r="283" spans="1:4" x14ac:dyDescent="0.2">
      <c r="A283" t="s">
        <v>590</v>
      </c>
      <c r="B283" t="s">
        <v>130</v>
      </c>
      <c r="C283" t="s">
        <v>443</v>
      </c>
      <c r="D283" t="str">
        <f>IF((COUNTIFS(MappingEditor!$A:$A,$A283,MappingEditor!$J:$J,"Y")+COUNTIFS(FallbackEditor!$A:$A,$A283,FallbackEditor!$J:$J,"Y"))&gt;0,"mapped","unmapped")</f>
        <v>mapped</v>
      </c>
    </row>
    <row r="284" spans="1:4" x14ac:dyDescent="0.2">
      <c r="A284" t="s">
        <v>591</v>
      </c>
      <c r="B284" t="s">
        <v>130</v>
      </c>
      <c r="C284" t="s">
        <v>16</v>
      </c>
      <c r="D284" t="str">
        <f>IF((COUNTIFS(MappingEditor!$A:$A,$A284,MappingEditor!$J:$J,"Y")+COUNTIFS(FallbackEditor!$A:$A,$A284,FallbackEditor!$J:$J,"Y"))&gt;0,"mapped","unmapped")</f>
        <v>mapped</v>
      </c>
    </row>
    <row r="285" spans="1:4" x14ac:dyDescent="0.2">
      <c r="A285" t="s">
        <v>592</v>
      </c>
      <c r="B285" t="s">
        <v>40</v>
      </c>
      <c r="C285" t="s">
        <v>16</v>
      </c>
      <c r="D285" t="str">
        <f>IF((COUNTIFS(MappingEditor!$A:$A,$A285,MappingEditor!$J:$J,"Y")+COUNTIFS(FallbackEditor!$A:$A,$A285,FallbackEditor!$J:$J,"Y"))&gt;0,"mapped","unmapped")</f>
        <v>mapped</v>
      </c>
    </row>
    <row r="286" spans="1:4" x14ac:dyDescent="0.2">
      <c r="A286" t="s">
        <v>309</v>
      </c>
      <c r="B286" t="s">
        <v>87</v>
      </c>
      <c r="C286" t="s">
        <v>310</v>
      </c>
      <c r="D286" t="str">
        <f>IF((COUNTIFS(MappingEditor!$A:$A,$A286,MappingEditor!$J:$J,"Y")+COUNTIFS(FallbackEditor!$A:$A,$A286,FallbackEditor!$J:$J,"Y"))&gt;0,"mapped","unmapped")</f>
        <v>mapped</v>
      </c>
    </row>
    <row r="287" spans="1:4" x14ac:dyDescent="0.2">
      <c r="A287" t="s">
        <v>58</v>
      </c>
      <c r="B287" t="s">
        <v>15</v>
      </c>
      <c r="C287" t="s">
        <v>49</v>
      </c>
      <c r="D287" t="str">
        <f>IF((COUNTIFS(MappingEditor!$A:$A,$A287,MappingEditor!$J:$J,"Y")+COUNTIFS(FallbackEditor!$A:$A,$A287,FallbackEditor!$J:$J,"Y"))&gt;0,"mapped","unmapped")</f>
        <v>mapped</v>
      </c>
    </row>
    <row r="288" spans="1:4" x14ac:dyDescent="0.2">
      <c r="A288" t="s">
        <v>593</v>
      </c>
      <c r="B288" t="s">
        <v>87</v>
      </c>
      <c r="C288" t="s">
        <v>182</v>
      </c>
      <c r="D288" t="str">
        <f>IF((COUNTIFS(MappingEditor!$A:$A,$A288,MappingEditor!$J:$J,"Y")+COUNTIFS(FallbackEditor!$A:$A,$A288,FallbackEditor!$J:$J,"Y"))&gt;0,"mapped","unmapped")</f>
        <v>mapped</v>
      </c>
    </row>
    <row r="289" spans="1:4" x14ac:dyDescent="0.2">
      <c r="A289" t="s">
        <v>127</v>
      </c>
      <c r="B289" t="s">
        <v>87</v>
      </c>
      <c r="C289" t="s">
        <v>107</v>
      </c>
      <c r="D289" t="str">
        <f>IF((COUNTIFS(MappingEditor!$A:$A,$A289,MappingEditor!$J:$J,"Y")+COUNTIFS(FallbackEditor!$A:$A,$A289,FallbackEditor!$J:$J,"Y"))&gt;0,"mapped","unmapped")</f>
        <v>mapped</v>
      </c>
    </row>
    <row r="290" spans="1:4" x14ac:dyDescent="0.2">
      <c r="A290" t="s">
        <v>297</v>
      </c>
      <c r="B290" t="s">
        <v>278</v>
      </c>
      <c r="C290" t="s">
        <v>80</v>
      </c>
      <c r="D290" t="str">
        <f>IF((COUNTIFS(MappingEditor!$A:$A,$A290,MappingEditor!$J:$J,"Y")+COUNTIFS(FallbackEditor!$A:$A,$A290,FallbackEditor!$J:$J,"Y"))&gt;0,"mapped","unmapped")</f>
        <v>mapped</v>
      </c>
    </row>
    <row r="291" spans="1:4" x14ac:dyDescent="0.2">
      <c r="A291" t="s">
        <v>299</v>
      </c>
      <c r="B291" t="s">
        <v>278</v>
      </c>
      <c r="C291" t="s">
        <v>80</v>
      </c>
      <c r="D291" t="str">
        <f>IF((COUNTIFS(MappingEditor!$A:$A,$A291,MappingEditor!$J:$J,"Y")+COUNTIFS(FallbackEditor!$A:$A,$A291,FallbackEditor!$J:$J,"Y"))&gt;0,"mapped","unmapped")</f>
        <v>mapped</v>
      </c>
    </row>
    <row r="292" spans="1:4" x14ac:dyDescent="0.2">
      <c r="A292" t="s">
        <v>594</v>
      </c>
      <c r="B292" t="s">
        <v>40</v>
      </c>
      <c r="C292" t="s">
        <v>228</v>
      </c>
      <c r="D292" t="str">
        <f>IF((COUNTIFS(MappingEditor!$A:$A,$A292,MappingEditor!$J:$J,"Y")+COUNTIFS(FallbackEditor!$A:$A,$A292,FallbackEditor!$J:$J,"Y"))&gt;0,"mapped","unmapped")</f>
        <v>mapped</v>
      </c>
    </row>
    <row r="293" spans="1:4" x14ac:dyDescent="0.2">
      <c r="A293" t="s">
        <v>303</v>
      </c>
      <c r="B293" t="s">
        <v>278</v>
      </c>
      <c r="C293" t="s">
        <v>279</v>
      </c>
      <c r="D293" t="str">
        <f>IF((COUNTIFS(MappingEditor!$A:$A,$A293,MappingEditor!$J:$J,"Y")+COUNTIFS(FallbackEditor!$A:$A,$A293,FallbackEditor!$J:$J,"Y"))&gt;0,"mapped","unmapped")</f>
        <v>mapped</v>
      </c>
    </row>
    <row r="294" spans="1:4" x14ac:dyDescent="0.2">
      <c r="A294" t="s">
        <v>307</v>
      </c>
      <c r="B294" t="s">
        <v>278</v>
      </c>
      <c r="C294" t="s">
        <v>80</v>
      </c>
      <c r="D294" t="str">
        <f>IF((COUNTIFS(MappingEditor!$A:$A,$A294,MappingEditor!$J:$J,"Y")+COUNTIFS(FallbackEditor!$A:$A,$A294,FallbackEditor!$J:$J,"Y"))&gt;0,"mapped","unmapped")</f>
        <v>mapped</v>
      </c>
    </row>
    <row r="295" spans="1:4" x14ac:dyDescent="0.2">
      <c r="A295" t="s">
        <v>305</v>
      </c>
      <c r="B295" t="s">
        <v>278</v>
      </c>
      <c r="C295" t="s">
        <v>279</v>
      </c>
      <c r="D295" t="str">
        <f>IF((COUNTIFS(MappingEditor!$A:$A,$A295,MappingEditor!$J:$J,"Y")+COUNTIFS(FallbackEditor!$A:$A,$A295,FallbackEditor!$J:$J,"Y"))&gt;0,"mapped","unmapped")</f>
        <v>mapped</v>
      </c>
    </row>
    <row r="296" spans="1:4" x14ac:dyDescent="0.2">
      <c r="A296" t="s">
        <v>301</v>
      </c>
      <c r="B296" t="s">
        <v>278</v>
      </c>
      <c r="C296" t="s">
        <v>279</v>
      </c>
      <c r="D296" t="str">
        <f>IF((COUNTIFS(MappingEditor!$A:$A,$A296,MappingEditor!$J:$J,"Y")+COUNTIFS(FallbackEditor!$A:$A,$A296,FallbackEditor!$J:$J,"Y"))&gt;0,"mapped","unmapped")</f>
        <v>mapped</v>
      </c>
    </row>
    <row r="297" spans="1:4" x14ac:dyDescent="0.2">
      <c r="A297" t="s">
        <v>294</v>
      </c>
      <c r="B297" t="s">
        <v>278</v>
      </c>
      <c r="C297" t="s">
        <v>80</v>
      </c>
      <c r="D297" t="str">
        <f>IF((COUNTIFS(MappingEditor!$A:$A,$A297,MappingEditor!$J:$J,"Y")+COUNTIFS(FallbackEditor!$A:$A,$A297,FallbackEditor!$J:$J,"Y"))&gt;0,"mapped","unmapped")</f>
        <v>mapped</v>
      </c>
    </row>
    <row r="298" spans="1:4" x14ac:dyDescent="0.2">
      <c r="A298" t="s">
        <v>595</v>
      </c>
      <c r="B298" t="s">
        <v>384</v>
      </c>
      <c r="C298" t="s">
        <v>388</v>
      </c>
      <c r="D298" t="str">
        <f>IF((COUNTIFS(MappingEditor!$A:$A,$A298,MappingEditor!$J:$J,"Y")+COUNTIFS(FallbackEditor!$A:$A,$A298,FallbackEditor!$J:$J,"Y"))&gt;0,"mapped","unmapped")</f>
        <v>mapped</v>
      </c>
    </row>
    <row r="299" spans="1:4" x14ac:dyDescent="0.2">
      <c r="A299" t="s">
        <v>233</v>
      </c>
      <c r="B299" t="s">
        <v>87</v>
      </c>
      <c r="C299" t="s">
        <v>221</v>
      </c>
      <c r="D299" t="str">
        <f>IF((COUNTIFS(MappingEditor!$A:$A,$A299,MappingEditor!$J:$J,"Y")+COUNTIFS(FallbackEditor!$A:$A,$A299,FallbackEditor!$J:$J,"Y"))&gt;0,"mapped","unmapped")</f>
        <v>mapped</v>
      </c>
    </row>
    <row r="300" spans="1:4" x14ac:dyDescent="0.2">
      <c r="A300" t="s">
        <v>238</v>
      </c>
      <c r="B300" t="s">
        <v>87</v>
      </c>
      <c r="C300" t="s">
        <v>221</v>
      </c>
      <c r="D300" t="str">
        <f>IF((COUNTIFS(MappingEditor!$A:$A,$A300,MappingEditor!$J:$J,"Y")+COUNTIFS(FallbackEditor!$A:$A,$A300,FallbackEditor!$J:$J,"Y"))&gt;0,"mapped","unmapped")</f>
        <v>mapped</v>
      </c>
    </row>
    <row r="301" spans="1:4" x14ac:dyDescent="0.2">
      <c r="A301" t="s">
        <v>211</v>
      </c>
      <c r="B301" t="s">
        <v>15</v>
      </c>
      <c r="C301" t="s">
        <v>54</v>
      </c>
      <c r="D301" t="str">
        <f>IF((COUNTIFS(MappingEditor!$A:$A,$A301,MappingEditor!$J:$J,"Y")+COUNTIFS(FallbackEditor!$A:$A,$A301,FallbackEditor!$J:$J,"Y"))&gt;0,"mapped","unmapped")</f>
        <v>mapped</v>
      </c>
    </row>
    <row r="302" spans="1:4" x14ac:dyDescent="0.2">
      <c r="A302" t="s">
        <v>596</v>
      </c>
      <c r="B302" t="s">
        <v>87</v>
      </c>
      <c r="C302" t="s">
        <v>221</v>
      </c>
      <c r="D302" t="str">
        <f>IF((COUNTIFS(MappingEditor!$A:$A,$A302,MappingEditor!$J:$J,"Y")+COUNTIFS(FallbackEditor!$A:$A,$A302,FallbackEditor!$J:$J,"Y"))&gt;0,"mapped","unmapped")</f>
        <v>mapped</v>
      </c>
    </row>
    <row r="303" spans="1:4" x14ac:dyDescent="0.2">
      <c r="A303" t="s">
        <v>597</v>
      </c>
      <c r="B303" t="s">
        <v>87</v>
      </c>
      <c r="C303" t="s">
        <v>221</v>
      </c>
      <c r="D303" t="str">
        <f>IF((COUNTIFS(MappingEditor!$A:$A,$A303,MappingEditor!$J:$J,"Y")+COUNTIFS(FallbackEditor!$A:$A,$A303,FallbackEditor!$J:$J,"Y"))&gt;0,"mapped","unmapped")</f>
        <v>mapped</v>
      </c>
    </row>
    <row r="304" spans="1:4" x14ac:dyDescent="0.2">
      <c r="A304" t="s">
        <v>110</v>
      </c>
      <c r="B304" t="s">
        <v>87</v>
      </c>
      <c r="C304" t="s">
        <v>107</v>
      </c>
      <c r="D304" t="str">
        <f>IF((COUNTIFS(MappingEditor!$A:$A,$A304,MappingEditor!$J:$J,"Y")+COUNTIFS(FallbackEditor!$A:$A,$A304,FallbackEditor!$J:$J,"Y"))&gt;0,"mapped","unmapped")</f>
        <v>mapped</v>
      </c>
    </row>
    <row r="305" spans="1:4" x14ac:dyDescent="0.2">
      <c r="A305" t="s">
        <v>598</v>
      </c>
      <c r="B305" t="s">
        <v>87</v>
      </c>
      <c r="C305" t="s">
        <v>599</v>
      </c>
      <c r="D305" t="str">
        <f>IF((COUNTIFS(MappingEditor!$A:$A,$A305,MappingEditor!$J:$J,"Y")+COUNTIFS(FallbackEditor!$A:$A,$A305,FallbackEditor!$J:$J,"Y"))&gt;0,"mapped","unmapped")</f>
        <v>mapped</v>
      </c>
    </row>
    <row r="306" spans="1:4" x14ac:dyDescent="0.2">
      <c r="A306" t="s">
        <v>106</v>
      </c>
      <c r="B306" t="s">
        <v>87</v>
      </c>
      <c r="C306" t="s">
        <v>107</v>
      </c>
      <c r="D306" t="str">
        <f>IF((COUNTIFS(MappingEditor!$A:$A,$A306,MappingEditor!$J:$J,"Y")+COUNTIFS(FallbackEditor!$A:$A,$A306,FallbackEditor!$J:$J,"Y"))&gt;0,"mapped","unmapped")</f>
        <v>mapped</v>
      </c>
    </row>
    <row r="307" spans="1:4" x14ac:dyDescent="0.2">
      <c r="A307" t="s">
        <v>600</v>
      </c>
      <c r="B307" t="s">
        <v>87</v>
      </c>
      <c r="C307" t="s">
        <v>120</v>
      </c>
      <c r="D307" t="str">
        <f>IF((COUNTIFS(MappingEditor!$A:$A,$A307,MappingEditor!$J:$J,"Y")+COUNTIFS(FallbackEditor!$A:$A,$A307,FallbackEditor!$J:$J,"Y"))&gt;0,"mapped","unmapped")</f>
        <v>mapped</v>
      </c>
    </row>
    <row r="308" spans="1:4" x14ac:dyDescent="0.2">
      <c r="A308" t="s">
        <v>601</v>
      </c>
      <c r="B308" t="s">
        <v>87</v>
      </c>
      <c r="C308" t="s">
        <v>599</v>
      </c>
      <c r="D308" t="str">
        <f>IF((COUNTIFS(MappingEditor!$A:$A,$A308,MappingEditor!$J:$J,"Y")+COUNTIFS(FallbackEditor!$A:$A,$A308,FallbackEditor!$J:$J,"Y"))&gt;0,"mapped","unmapped")</f>
        <v>mapped</v>
      </c>
    </row>
    <row r="309" spans="1:4" x14ac:dyDescent="0.2">
      <c r="A309" t="s">
        <v>602</v>
      </c>
      <c r="B309" t="s">
        <v>40</v>
      </c>
      <c r="C309" t="s">
        <v>465</v>
      </c>
      <c r="D309" t="str">
        <f>IF((COUNTIFS(MappingEditor!$A:$A,$A309,MappingEditor!$J:$J,"Y")+COUNTIFS(FallbackEditor!$A:$A,$A309,FallbackEditor!$J:$J,"Y"))&gt;0,"mapped","unmapped")</f>
        <v>mapped</v>
      </c>
    </row>
    <row r="310" spans="1:4" x14ac:dyDescent="0.2">
      <c r="A310" t="s">
        <v>86</v>
      </c>
      <c r="B310" t="s">
        <v>87</v>
      </c>
      <c r="C310" t="s">
        <v>80</v>
      </c>
      <c r="D310" t="str">
        <f>IF((COUNTIFS(MappingEditor!$A:$A,$A310,MappingEditor!$J:$J,"Y")+COUNTIFS(FallbackEditor!$A:$A,$A310,FallbackEditor!$J:$J,"Y"))&gt;0,"mapped","unmapped")</f>
        <v>mapped</v>
      </c>
    </row>
    <row r="311" spans="1:4" x14ac:dyDescent="0.2">
      <c r="A311" t="s">
        <v>603</v>
      </c>
      <c r="B311" t="s">
        <v>87</v>
      </c>
      <c r="C311" t="s">
        <v>448</v>
      </c>
      <c r="D311" t="str">
        <f>IF((COUNTIFS(MappingEditor!$A:$A,$A311,MappingEditor!$J:$J,"Y")+COUNTIFS(FallbackEditor!$A:$A,$A311,FallbackEditor!$J:$J,"Y"))&gt;0,"mapped","unmapped")</f>
        <v>mapped</v>
      </c>
    </row>
    <row r="312" spans="1:4" x14ac:dyDescent="0.2">
      <c r="A312" t="s">
        <v>604</v>
      </c>
      <c r="B312" t="s">
        <v>87</v>
      </c>
      <c r="C312" t="s">
        <v>96</v>
      </c>
      <c r="D312" t="str">
        <f>IF((COUNTIFS(MappingEditor!$A:$A,$A312,MappingEditor!$J:$J,"Y")+COUNTIFS(FallbackEditor!$A:$A,$A312,FallbackEditor!$J:$J,"Y"))&gt;0,"mapped","unmapped")</f>
        <v>mapped</v>
      </c>
    </row>
    <row r="313" spans="1:4" x14ac:dyDescent="0.2">
      <c r="A313" t="s">
        <v>163</v>
      </c>
      <c r="B313" t="s">
        <v>87</v>
      </c>
      <c r="C313" t="s">
        <v>96</v>
      </c>
      <c r="D313" t="str">
        <f>IF((COUNTIFS(MappingEditor!$A:$A,$A313,MappingEditor!$J:$J,"Y")+COUNTIFS(FallbackEditor!$A:$A,$A313,FallbackEditor!$J:$J,"Y"))&gt;0,"mapped","unmapped")</f>
        <v>mapped</v>
      </c>
    </row>
    <row r="314" spans="1:4" x14ac:dyDescent="0.2">
      <c r="A314" t="s">
        <v>605</v>
      </c>
      <c r="B314" t="s">
        <v>87</v>
      </c>
      <c r="C314" t="s">
        <v>599</v>
      </c>
      <c r="D314" t="str">
        <f>IF((COUNTIFS(MappingEditor!$A:$A,$A314,MappingEditor!$J:$J,"Y")+COUNTIFS(FallbackEditor!$A:$A,$A314,FallbackEditor!$J:$J,"Y"))&gt;0,"mapped","unmapped")</f>
        <v>mapped</v>
      </c>
    </row>
    <row r="315" spans="1:4" x14ac:dyDescent="0.2">
      <c r="A315" t="s">
        <v>606</v>
      </c>
      <c r="B315" t="s">
        <v>87</v>
      </c>
      <c r="C315" t="s">
        <v>599</v>
      </c>
      <c r="D315" t="str">
        <f>IF((COUNTIFS(MappingEditor!$A:$A,$A315,MappingEditor!$J:$J,"Y")+COUNTIFS(FallbackEditor!$A:$A,$A315,FallbackEditor!$J:$J,"Y"))&gt;0,"mapped","unmapped")</f>
        <v>mapped</v>
      </c>
    </row>
    <row r="316" spans="1:4" x14ac:dyDescent="0.2">
      <c r="A316" t="s">
        <v>607</v>
      </c>
      <c r="B316" t="s">
        <v>87</v>
      </c>
      <c r="C316" t="s">
        <v>599</v>
      </c>
      <c r="D316" t="str">
        <f>IF((COUNTIFS(MappingEditor!$A:$A,$A316,MappingEditor!$J:$J,"Y")+COUNTIFS(FallbackEditor!$A:$A,$A316,FallbackEditor!$J:$J,"Y"))&gt;0,"mapped","unmapped")</f>
        <v>mapped</v>
      </c>
    </row>
    <row r="317" spans="1:4" x14ac:dyDescent="0.2">
      <c r="A317" t="s">
        <v>608</v>
      </c>
      <c r="B317" t="s">
        <v>87</v>
      </c>
      <c r="C317" t="s">
        <v>599</v>
      </c>
      <c r="D317" t="str">
        <f>IF((COUNTIFS(MappingEditor!$A:$A,$A317,MappingEditor!$J:$J,"Y")+COUNTIFS(FallbackEditor!$A:$A,$A317,FallbackEditor!$J:$J,"Y"))&gt;0,"mapped","unmapped")</f>
        <v>mapped</v>
      </c>
    </row>
    <row r="318" spans="1:4" x14ac:dyDescent="0.2">
      <c r="A318" t="s">
        <v>350</v>
      </c>
      <c r="B318" t="s">
        <v>130</v>
      </c>
      <c r="C318" t="s">
        <v>346</v>
      </c>
      <c r="D318" t="str">
        <f>IF((COUNTIFS(MappingEditor!$A:$A,$A318,MappingEditor!$J:$J,"Y")+COUNTIFS(FallbackEditor!$A:$A,$A318,FallbackEditor!$J:$J,"Y"))&gt;0,"mapped","unmapped")</f>
        <v>mapped</v>
      </c>
    </row>
    <row r="319" spans="1:4" x14ac:dyDescent="0.2">
      <c r="A319" t="s">
        <v>609</v>
      </c>
      <c r="B319" t="s">
        <v>130</v>
      </c>
      <c r="C319" t="s">
        <v>346</v>
      </c>
      <c r="D319" t="str">
        <f>IF((COUNTIFS(MappingEditor!$A:$A,$A319,MappingEditor!$J:$J,"Y")+COUNTIFS(FallbackEditor!$A:$A,$A319,FallbackEditor!$J:$J,"Y"))&gt;0,"mapped","unmapped")</f>
        <v>mapped</v>
      </c>
    </row>
    <row r="320" spans="1:4" x14ac:dyDescent="0.2">
      <c r="A320" t="s">
        <v>352</v>
      </c>
      <c r="B320" t="s">
        <v>130</v>
      </c>
      <c r="C320" t="s">
        <v>346</v>
      </c>
      <c r="D320" t="str">
        <f>IF((COUNTIFS(MappingEditor!$A:$A,$A320,MappingEditor!$J:$J,"Y")+COUNTIFS(FallbackEditor!$A:$A,$A320,FallbackEditor!$J:$J,"Y"))&gt;0,"mapped","unmapped")</f>
        <v>mapped</v>
      </c>
    </row>
    <row r="321" spans="1:4" x14ac:dyDescent="0.2">
      <c r="A321" t="s">
        <v>343</v>
      </c>
      <c r="B321" t="s">
        <v>87</v>
      </c>
      <c r="C321" t="s">
        <v>190</v>
      </c>
      <c r="D321" t="str">
        <f>IF((COUNTIFS(MappingEditor!$A:$A,$A321,MappingEditor!$J:$J,"Y")+COUNTIFS(FallbackEditor!$A:$A,$A321,FallbackEditor!$J:$J,"Y"))&gt;0,"mapped","unmapped")</f>
        <v>mapped</v>
      </c>
    </row>
    <row r="322" spans="1:4" x14ac:dyDescent="0.2">
      <c r="A322" t="s">
        <v>337</v>
      </c>
      <c r="B322" t="s">
        <v>87</v>
      </c>
      <c r="C322" t="s">
        <v>190</v>
      </c>
      <c r="D322" t="str">
        <f>IF((COUNTIFS(MappingEditor!$A:$A,$A322,MappingEditor!$J:$J,"Y")+COUNTIFS(FallbackEditor!$A:$A,$A322,FallbackEditor!$J:$J,"Y"))&gt;0,"mapped","unmapped")</f>
        <v>mapped</v>
      </c>
    </row>
    <row r="323" spans="1:4" x14ac:dyDescent="0.2">
      <c r="A323" t="s">
        <v>339</v>
      </c>
      <c r="B323" t="s">
        <v>87</v>
      </c>
      <c r="C323" t="s">
        <v>190</v>
      </c>
      <c r="D323" t="str">
        <f>IF((COUNTIFS(MappingEditor!$A:$A,$A323,MappingEditor!$J:$J,"Y")+COUNTIFS(FallbackEditor!$A:$A,$A323,FallbackEditor!$J:$J,"Y"))&gt;0,"mapped","unmapped")</f>
        <v>mapped</v>
      </c>
    </row>
    <row r="324" spans="1:4" x14ac:dyDescent="0.2">
      <c r="A324" t="s">
        <v>335</v>
      </c>
      <c r="B324" t="s">
        <v>87</v>
      </c>
      <c r="C324" t="s">
        <v>190</v>
      </c>
      <c r="D324" t="str">
        <f>IF((COUNTIFS(MappingEditor!$A:$A,$A324,MappingEditor!$J:$J,"Y")+COUNTIFS(FallbackEditor!$A:$A,$A324,FallbackEditor!$J:$J,"Y"))&gt;0,"mapped","unmapped")</f>
        <v>mapped</v>
      </c>
    </row>
    <row r="325" spans="1:4" x14ac:dyDescent="0.2">
      <c r="A325" t="s">
        <v>341</v>
      </c>
      <c r="B325" t="s">
        <v>87</v>
      </c>
      <c r="C325" t="s">
        <v>342</v>
      </c>
      <c r="D325" t="str">
        <f>IF((COUNTIFS(MappingEditor!$A:$A,$A325,MappingEditor!$J:$J,"Y")+COUNTIFS(FallbackEditor!$A:$A,$A325,FallbackEditor!$J:$J,"Y"))&gt;0,"mapped","unmapped")</f>
        <v>mapped</v>
      </c>
    </row>
    <row r="326" spans="1:4" x14ac:dyDescent="0.2">
      <c r="A326" t="s">
        <v>340</v>
      </c>
      <c r="B326" t="s">
        <v>87</v>
      </c>
      <c r="C326" t="s">
        <v>190</v>
      </c>
      <c r="D326" t="str">
        <f>IF((COUNTIFS(MappingEditor!$A:$A,$A326,MappingEditor!$J:$J,"Y")+COUNTIFS(FallbackEditor!$A:$A,$A326,FallbackEditor!$J:$J,"Y"))&gt;0,"mapped","unmapped")</f>
        <v>mapped</v>
      </c>
    </row>
    <row r="327" spans="1:4" x14ac:dyDescent="0.2">
      <c r="A327" t="s">
        <v>610</v>
      </c>
      <c r="B327" t="s">
        <v>87</v>
      </c>
      <c r="C327" t="s">
        <v>190</v>
      </c>
      <c r="D327" t="str">
        <f>IF((COUNTIFS(MappingEditor!$A:$A,$A327,MappingEditor!$J:$J,"Y")+COUNTIFS(FallbackEditor!$A:$A,$A327,FallbackEditor!$J:$J,"Y"))&gt;0,"mapped","unmapped")</f>
        <v>mapped</v>
      </c>
    </row>
    <row r="328" spans="1:4" x14ac:dyDescent="0.2">
      <c r="A328" t="s">
        <v>611</v>
      </c>
      <c r="B328" t="s">
        <v>87</v>
      </c>
      <c r="C328" t="s">
        <v>190</v>
      </c>
      <c r="D328" t="str">
        <f>IF((COUNTIFS(MappingEditor!$A:$A,$A328,MappingEditor!$J:$J,"Y")+COUNTIFS(FallbackEditor!$A:$A,$A328,FallbackEditor!$J:$J,"Y"))&gt;0,"mapped","unmapped")</f>
        <v>mapped</v>
      </c>
    </row>
    <row r="329" spans="1:4" x14ac:dyDescent="0.2">
      <c r="A329" t="s">
        <v>612</v>
      </c>
      <c r="B329" t="s">
        <v>87</v>
      </c>
      <c r="C329" t="s">
        <v>190</v>
      </c>
      <c r="D329" t="str">
        <f>IF((COUNTIFS(MappingEditor!$A:$A,$A329,MappingEditor!$J:$J,"Y")+COUNTIFS(FallbackEditor!$A:$A,$A329,FallbackEditor!$J:$J,"Y"))&gt;0,"mapped","unmapped")</f>
        <v>mapped</v>
      </c>
    </row>
    <row r="330" spans="1:4" x14ac:dyDescent="0.2">
      <c r="A330" t="s">
        <v>338</v>
      </c>
      <c r="B330" t="s">
        <v>87</v>
      </c>
      <c r="C330" t="s">
        <v>190</v>
      </c>
      <c r="D330" t="str">
        <f>IF((COUNTIFS(MappingEditor!$A:$A,$A330,MappingEditor!$J:$J,"Y")+COUNTIFS(FallbackEditor!$A:$A,$A330,FallbackEditor!$J:$J,"Y"))&gt;0,"mapped","unmapped")</f>
        <v>mapped</v>
      </c>
    </row>
    <row r="331" spans="1:4" x14ac:dyDescent="0.2">
      <c r="A331" t="s">
        <v>336</v>
      </c>
      <c r="B331" t="s">
        <v>87</v>
      </c>
      <c r="C331" t="s">
        <v>190</v>
      </c>
      <c r="D331" t="str">
        <f>IF((COUNTIFS(MappingEditor!$A:$A,$A331,MappingEditor!$J:$J,"Y")+COUNTIFS(FallbackEditor!$A:$A,$A331,FallbackEditor!$J:$J,"Y"))&gt;0,"mapped","unmapped")</f>
        <v>mapped</v>
      </c>
    </row>
    <row r="332" spans="1:4" x14ac:dyDescent="0.2">
      <c r="A332" t="s">
        <v>613</v>
      </c>
      <c r="B332" t="s">
        <v>87</v>
      </c>
      <c r="C332" t="s">
        <v>342</v>
      </c>
      <c r="D332" t="str">
        <f>IF((COUNTIFS(MappingEditor!$A:$A,$A332,MappingEditor!$J:$J,"Y")+COUNTIFS(FallbackEditor!$A:$A,$A332,FallbackEditor!$J:$J,"Y"))&gt;0,"mapped","unmapped")</f>
        <v>mapped</v>
      </c>
    </row>
    <row r="333" spans="1:4" x14ac:dyDescent="0.2">
      <c r="A333" t="s">
        <v>614</v>
      </c>
      <c r="B333" t="s">
        <v>130</v>
      </c>
      <c r="C333" t="s">
        <v>443</v>
      </c>
      <c r="D333" t="str">
        <f>IF((COUNTIFS(MappingEditor!$A:$A,$A333,MappingEditor!$J:$J,"Y")+COUNTIFS(FallbackEditor!$A:$A,$A333,FallbackEditor!$J:$J,"Y"))&gt;0,"mapped","unmapped")</f>
        <v>mapped</v>
      </c>
    </row>
    <row r="334" spans="1:4" x14ac:dyDescent="0.2">
      <c r="A334" t="s">
        <v>615</v>
      </c>
      <c r="B334" t="s">
        <v>15</v>
      </c>
      <c r="C334" t="s">
        <v>54</v>
      </c>
      <c r="D334" t="str">
        <f>IF((COUNTIFS(MappingEditor!$A:$A,$A334,MappingEditor!$J:$J,"Y")+COUNTIFS(FallbackEditor!$A:$A,$A334,FallbackEditor!$J:$J,"Y"))&gt;0,"mapped","unmapped")</f>
        <v>mapped</v>
      </c>
    </row>
    <row r="335" spans="1:4" x14ac:dyDescent="0.2">
      <c r="A335" t="s">
        <v>616</v>
      </c>
      <c r="B335" t="s">
        <v>15</v>
      </c>
      <c r="C335" t="s">
        <v>54</v>
      </c>
      <c r="D335" t="str">
        <f>IF((COUNTIFS(MappingEditor!$A:$A,$A335,MappingEditor!$J:$J,"Y")+COUNTIFS(FallbackEditor!$A:$A,$A335,FallbackEditor!$J:$J,"Y"))&gt;0,"mapped","unmapped")</f>
        <v>mapped</v>
      </c>
    </row>
    <row r="336" spans="1:4" x14ac:dyDescent="0.2">
      <c r="A336" t="s">
        <v>214</v>
      </c>
      <c r="B336" t="s">
        <v>15</v>
      </c>
      <c r="C336" t="s">
        <v>54</v>
      </c>
      <c r="D336" t="str">
        <f>IF((COUNTIFS(MappingEditor!$A:$A,$A336,MappingEditor!$J:$J,"Y")+COUNTIFS(FallbackEditor!$A:$A,$A336,FallbackEditor!$J:$J,"Y"))&gt;0,"mapped","unmapped")</f>
        <v>mapped</v>
      </c>
    </row>
    <row r="337" spans="1:4" x14ac:dyDescent="0.2">
      <c r="A337" t="s">
        <v>617</v>
      </c>
      <c r="B337" t="s">
        <v>40</v>
      </c>
      <c r="C337" t="s">
        <v>16</v>
      </c>
      <c r="D337" t="str">
        <f>IF((COUNTIFS(MappingEditor!$A:$A,$A337,MappingEditor!$J:$J,"Y")+COUNTIFS(FallbackEditor!$A:$A,$A337,FallbackEditor!$J:$J,"Y"))&gt;0,"mapped","unmapped")</f>
        <v>mapped</v>
      </c>
    </row>
    <row r="338" spans="1:4" x14ac:dyDescent="0.2">
      <c r="A338" t="s">
        <v>618</v>
      </c>
      <c r="B338" t="s">
        <v>40</v>
      </c>
      <c r="C338" t="s">
        <v>16</v>
      </c>
      <c r="D338" t="str">
        <f>IF((COUNTIFS(MappingEditor!$A:$A,$A338,MappingEditor!$J:$J,"Y")+COUNTIFS(FallbackEditor!$A:$A,$A338,FallbackEditor!$J:$J,"Y"))&gt;0,"mapped","unmapped")</f>
        <v>mapped</v>
      </c>
    </row>
    <row r="339" spans="1:4" x14ac:dyDescent="0.2">
      <c r="A339" t="s">
        <v>619</v>
      </c>
      <c r="B339" t="s">
        <v>384</v>
      </c>
      <c r="C339" t="s">
        <v>388</v>
      </c>
      <c r="D339" t="str">
        <f>IF((COUNTIFS(MappingEditor!$A:$A,$A339,MappingEditor!$J:$J,"Y")+COUNTIFS(FallbackEditor!$A:$A,$A339,FallbackEditor!$J:$J,"Y"))&gt;0,"mapped","unmapped")</f>
        <v>mapped</v>
      </c>
    </row>
    <row r="340" spans="1:4" x14ac:dyDescent="0.2">
      <c r="A340" t="s">
        <v>195</v>
      </c>
      <c r="B340" t="s">
        <v>87</v>
      </c>
      <c r="C340" t="s">
        <v>182</v>
      </c>
      <c r="D340" t="str">
        <f>IF((COUNTIFS(MappingEditor!$A:$A,$A340,MappingEditor!$J:$J,"Y")+COUNTIFS(FallbackEditor!$A:$A,$A340,FallbackEditor!$J:$J,"Y"))&gt;0,"mapped","unmapped")</f>
        <v>mapped</v>
      </c>
    </row>
    <row r="341" spans="1:4" x14ac:dyDescent="0.2">
      <c r="A341" t="s">
        <v>153</v>
      </c>
      <c r="B341" t="s">
        <v>87</v>
      </c>
      <c r="C341" t="s">
        <v>154</v>
      </c>
      <c r="D341" t="str">
        <f>IF((COUNTIFS(MappingEditor!$A:$A,$A341,MappingEditor!$J:$J,"Y")+COUNTIFS(FallbackEditor!$A:$A,$A341,FallbackEditor!$J:$J,"Y"))&gt;0,"mapped","unmapped")</f>
        <v>mapped</v>
      </c>
    </row>
    <row r="342" spans="1:4" x14ac:dyDescent="0.2">
      <c r="A342" t="s">
        <v>620</v>
      </c>
      <c r="B342" t="s">
        <v>87</v>
      </c>
      <c r="C342" t="s">
        <v>107</v>
      </c>
      <c r="D342" t="str">
        <f>IF((COUNTIFS(MappingEditor!$A:$A,$A342,MappingEditor!$J:$J,"Y")+COUNTIFS(FallbackEditor!$A:$A,$A342,FallbackEditor!$J:$J,"Y"))&gt;0,"mapped","unmapped")</f>
        <v>mapped</v>
      </c>
    </row>
    <row r="343" spans="1:4" x14ac:dyDescent="0.2">
      <c r="A343" t="s">
        <v>14</v>
      </c>
      <c r="B343" t="s">
        <v>15</v>
      </c>
      <c r="C343" t="s">
        <v>16</v>
      </c>
      <c r="D343" t="str">
        <f>IF((COUNTIFS(MappingEditor!$A:$A,$A343,MappingEditor!$J:$J,"Y")+COUNTIFS(FallbackEditor!$A:$A,$A343,FallbackEditor!$J:$J,"Y"))&gt;0,"mapped","unmapped")</f>
        <v>mapped</v>
      </c>
    </row>
    <row r="344" spans="1:4" x14ac:dyDescent="0.2">
      <c r="A344" t="s">
        <v>621</v>
      </c>
      <c r="B344" t="s">
        <v>40</v>
      </c>
      <c r="C344" t="s">
        <v>16</v>
      </c>
      <c r="D344" t="str">
        <f>IF((COUNTIFS(MappingEditor!$A:$A,$A344,MappingEditor!$J:$J,"Y")+COUNTIFS(FallbackEditor!$A:$A,$A344,FallbackEditor!$J:$J,"Y"))&gt;0,"mapped","unmapped")</f>
        <v>mapped</v>
      </c>
    </row>
    <row r="345" spans="1:4" x14ac:dyDescent="0.2">
      <c r="A345" t="s">
        <v>622</v>
      </c>
      <c r="B345" t="s">
        <v>87</v>
      </c>
      <c r="C345" t="s">
        <v>107</v>
      </c>
      <c r="D345" t="str">
        <f>IF((COUNTIFS(MappingEditor!$A:$A,$A345,MappingEditor!$J:$J,"Y")+COUNTIFS(FallbackEditor!$A:$A,$A345,FallbackEditor!$J:$J,"Y"))&gt;0,"mapped","unmapped")</f>
        <v>mapped</v>
      </c>
    </row>
    <row r="346" spans="1:4" x14ac:dyDescent="0.2">
      <c r="A346" t="s">
        <v>623</v>
      </c>
      <c r="B346" t="s">
        <v>87</v>
      </c>
      <c r="C346" t="s">
        <v>599</v>
      </c>
      <c r="D346" t="str">
        <f>IF((COUNTIFS(MappingEditor!$A:$A,$A346,MappingEditor!$J:$J,"Y")+COUNTIFS(FallbackEditor!$A:$A,$A346,FallbackEditor!$J:$J,"Y"))&gt;0,"mapped","unmapped")</f>
        <v>mapped</v>
      </c>
    </row>
    <row r="347" spans="1:4" x14ac:dyDescent="0.2">
      <c r="A347" t="s">
        <v>624</v>
      </c>
      <c r="B347" t="s">
        <v>79</v>
      </c>
      <c r="C347" t="s">
        <v>80</v>
      </c>
      <c r="D347" t="str">
        <f>IF((COUNTIFS(MappingEditor!$A:$A,$A347,MappingEditor!$J:$J,"Y")+COUNTIFS(FallbackEditor!$A:$A,$A347,FallbackEditor!$J:$J,"Y"))&gt;0,"mapped","unmapped")</f>
        <v>mapped</v>
      </c>
    </row>
    <row r="348" spans="1:4" x14ac:dyDescent="0.2">
      <c r="A348" t="s">
        <v>625</v>
      </c>
      <c r="B348" t="s">
        <v>79</v>
      </c>
      <c r="C348" t="s">
        <v>80</v>
      </c>
      <c r="D348" t="str">
        <f>IF((COUNTIFS(MappingEditor!$A:$A,$A348,MappingEditor!$J:$J,"Y")+COUNTIFS(FallbackEditor!$A:$A,$A348,FallbackEditor!$J:$J,"Y"))&gt;0,"mapped","unmapped")</f>
        <v>mapped</v>
      </c>
    </row>
    <row r="349" spans="1:4" x14ac:dyDescent="0.2">
      <c r="A349" t="s">
        <v>114</v>
      </c>
      <c r="B349" t="s">
        <v>15</v>
      </c>
      <c r="C349" t="s">
        <v>16</v>
      </c>
      <c r="D349" t="str">
        <f>IF((COUNTIFS(MappingEditor!$A:$A,$A349,MappingEditor!$J:$J,"Y")+COUNTIFS(FallbackEditor!$A:$A,$A349,FallbackEditor!$J:$J,"Y"))&gt;0,"mapped","unmapped")</f>
        <v>mapped</v>
      </c>
    </row>
    <row r="350" spans="1:4" x14ac:dyDescent="0.2">
      <c r="A350" t="s">
        <v>626</v>
      </c>
      <c r="B350" t="s">
        <v>15</v>
      </c>
      <c r="C350" t="s">
        <v>16</v>
      </c>
      <c r="D350" t="str">
        <f>IF((COUNTIFS(MappingEditor!$A:$A,$A350,MappingEditor!$J:$J,"Y")+COUNTIFS(FallbackEditor!$A:$A,$A350,FallbackEditor!$J:$J,"Y"))&gt;0,"mapped","unmapped")</f>
        <v>mapped</v>
      </c>
    </row>
    <row r="351" spans="1:4" x14ac:dyDescent="0.2">
      <c r="A351" t="s">
        <v>627</v>
      </c>
      <c r="B351" t="s">
        <v>130</v>
      </c>
      <c r="C351" t="s">
        <v>356</v>
      </c>
      <c r="D351" t="str">
        <f>IF((COUNTIFS(MappingEditor!$A:$A,$A351,MappingEditor!$J:$J,"Y")+COUNTIFS(FallbackEditor!$A:$A,$A351,FallbackEditor!$J:$J,"Y"))&gt;0,"mapped","unmapped")</f>
        <v>mapped</v>
      </c>
    </row>
    <row r="352" spans="1:4" x14ac:dyDescent="0.2">
      <c r="A352" t="s">
        <v>628</v>
      </c>
      <c r="B352" t="s">
        <v>130</v>
      </c>
      <c r="C352" t="s">
        <v>356</v>
      </c>
      <c r="D352" t="str">
        <f>IF((COUNTIFS(MappingEditor!$A:$A,$A352,MappingEditor!$J:$J,"Y")+COUNTIFS(FallbackEditor!$A:$A,$A352,FallbackEditor!$J:$J,"Y"))&gt;0,"mapped","unmapped")</f>
        <v>mapped</v>
      </c>
    </row>
    <row r="353" spans="1:4" x14ac:dyDescent="0.2">
      <c r="A353" t="s">
        <v>629</v>
      </c>
      <c r="B353" t="s">
        <v>79</v>
      </c>
      <c r="C353" t="s">
        <v>80</v>
      </c>
      <c r="D353" t="str">
        <f>IF((COUNTIFS(MappingEditor!$A:$A,$A353,MappingEditor!$J:$J,"Y")+COUNTIFS(FallbackEditor!$A:$A,$A353,FallbackEditor!$J:$J,"Y"))&gt;0,"mapped","unmapped")</f>
        <v>mapped</v>
      </c>
    </row>
    <row r="354" spans="1:4" x14ac:dyDescent="0.2">
      <c r="A354" t="s">
        <v>630</v>
      </c>
      <c r="B354" t="s">
        <v>15</v>
      </c>
      <c r="C354" t="s">
        <v>80</v>
      </c>
      <c r="D354" t="str">
        <f>IF((COUNTIFS(MappingEditor!$A:$A,$A354,MappingEditor!$J:$J,"Y")+COUNTIFS(FallbackEditor!$A:$A,$A354,FallbackEditor!$J:$J,"Y"))&gt;0,"mapped","unmapped")</f>
        <v>mapped</v>
      </c>
    </row>
    <row r="355" spans="1:4" x14ac:dyDescent="0.2">
      <c r="A355" t="s">
        <v>631</v>
      </c>
      <c r="B355" t="s">
        <v>278</v>
      </c>
      <c r="C355" t="s">
        <v>533</v>
      </c>
      <c r="D355" t="str">
        <f>IF((COUNTIFS(MappingEditor!$A:$A,$A355,MappingEditor!$J:$J,"Y")+COUNTIFS(FallbackEditor!$A:$A,$A355,FallbackEditor!$J:$J,"Y"))&gt;0,"mapped","unmapped")</f>
        <v>mapped</v>
      </c>
    </row>
    <row r="356" spans="1:4" x14ac:dyDescent="0.2">
      <c r="A356" t="s">
        <v>175</v>
      </c>
      <c r="B356" t="s">
        <v>87</v>
      </c>
      <c r="C356" t="s">
        <v>96</v>
      </c>
      <c r="D356" t="str">
        <f>IF((COUNTIFS(MappingEditor!$A:$A,$A356,MappingEditor!$J:$J,"Y")+COUNTIFS(FallbackEditor!$A:$A,$A356,FallbackEditor!$J:$J,"Y"))&gt;0,"mapped","unmapped")</f>
        <v>mapped</v>
      </c>
    </row>
    <row r="357" spans="1:4" x14ac:dyDescent="0.2">
      <c r="A357" t="s">
        <v>177</v>
      </c>
      <c r="B357" t="s">
        <v>15</v>
      </c>
      <c r="C357" t="s">
        <v>166</v>
      </c>
      <c r="D357" t="str">
        <f>IF((COUNTIFS(MappingEditor!$A:$A,$A357,MappingEditor!$J:$J,"Y")+COUNTIFS(FallbackEditor!$A:$A,$A357,FallbackEditor!$J:$J,"Y"))&gt;0,"mapped","unmapped")</f>
        <v>mapped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09"/>
  <sheetViews>
    <sheetView workbookViewId="0"/>
  </sheetViews>
  <sheetFormatPr baseColWidth="10" defaultColWidth="8.83203125" defaultRowHeight="15" x14ac:dyDescent="0.2"/>
  <cols>
    <col min="1" max="1" width="33" customWidth="1"/>
    <col min="2" max="2" width="32" customWidth="1"/>
    <col min="3" max="3" width="60" customWidth="1"/>
  </cols>
  <sheetData>
    <row r="1" spans="1:3" x14ac:dyDescent="0.2">
      <c r="A1" s="1" t="s">
        <v>5</v>
      </c>
      <c r="B1" s="1" t="s">
        <v>6</v>
      </c>
      <c r="C1" s="1" t="s">
        <v>617</v>
      </c>
    </row>
    <row r="2" spans="1:3" x14ac:dyDescent="0.2">
      <c r="A2" t="s">
        <v>64</v>
      </c>
      <c r="B2" t="s">
        <v>721</v>
      </c>
      <c r="C2" t="str">
        <f>IF((COUNTIFS(MappingEditor!$F:$F,$A2,MappingEditor!$G:$G,$B2,MappingEditor!$J:$J,"Y")+COUNTIFS(FallbackEditor!$G:$G,$A2,FallbackEditor!$H:$H,$B2,FallbackEditor!$J:$J,"Y"))&gt;0,"mapped","unmapped")</f>
        <v>unmapped</v>
      </c>
    </row>
    <row r="3" spans="1:3" x14ac:dyDescent="0.2">
      <c r="A3" t="s">
        <v>64</v>
      </c>
      <c r="B3" t="s">
        <v>722</v>
      </c>
      <c r="C3" t="str">
        <f>IF((COUNTIFS(MappingEditor!$F:$F,$A3,MappingEditor!$G:$G,$B3,MappingEditor!$J:$J,"Y")+COUNTIFS(FallbackEditor!$G:$G,$A3,FallbackEditor!$H:$H,$B3,FallbackEditor!$J:$J,"Y"))&gt;0,"mapped","unmapped")</f>
        <v>unmapped</v>
      </c>
    </row>
    <row r="4" spans="1:3" x14ac:dyDescent="0.2">
      <c r="A4" t="s">
        <v>64</v>
      </c>
      <c r="B4" t="s">
        <v>723</v>
      </c>
      <c r="C4" t="str">
        <f>IF((COUNTIFS(MappingEditor!$F:$F,$A4,MappingEditor!$G:$G,$B4,MappingEditor!$J:$J,"Y")+COUNTIFS(FallbackEditor!$G:$G,$A4,FallbackEditor!$H:$H,$B4,FallbackEditor!$J:$J,"Y"))&gt;0,"mapped","unmapped")</f>
        <v>unmapped</v>
      </c>
    </row>
    <row r="5" spans="1:3" x14ac:dyDescent="0.2">
      <c r="A5" t="s">
        <v>64</v>
      </c>
      <c r="B5" t="s">
        <v>328</v>
      </c>
      <c r="C5" t="str">
        <f>IF((COUNTIFS(MappingEditor!$F:$F,$A5,MappingEditor!$G:$G,$B5,MappingEditor!$J:$J,"Y")+COUNTIFS(FallbackEditor!$G:$G,$A5,FallbackEditor!$H:$H,$B5,FallbackEditor!$J:$J,"Y"))&gt;0,"mapped","unmapped")</f>
        <v>mapped</v>
      </c>
    </row>
    <row r="6" spans="1:3" x14ac:dyDescent="0.2">
      <c r="A6" t="s">
        <v>64</v>
      </c>
      <c r="B6" t="s">
        <v>724</v>
      </c>
      <c r="C6" t="str">
        <f>IF((COUNTIFS(MappingEditor!$F:$F,$A6,MappingEditor!$G:$G,$B6,MappingEditor!$J:$J,"Y")+COUNTIFS(FallbackEditor!$G:$G,$A6,FallbackEditor!$H:$H,$B6,FallbackEditor!$J:$J,"Y"))&gt;0,"mapped","unmapped")</f>
        <v>unmapped</v>
      </c>
    </row>
    <row r="7" spans="1:3" x14ac:dyDescent="0.2">
      <c r="A7" t="s">
        <v>64</v>
      </c>
      <c r="B7" t="s">
        <v>725</v>
      </c>
      <c r="C7" t="str">
        <f>IF((COUNTIFS(MappingEditor!$F:$F,$A7,MappingEditor!$G:$G,$B7,MappingEditor!$J:$J,"Y")+COUNTIFS(FallbackEditor!$G:$G,$A7,FallbackEditor!$H:$H,$B7,FallbackEditor!$J:$J,"Y"))&gt;0,"mapped","unmapped")</f>
        <v>unmapped</v>
      </c>
    </row>
    <row r="8" spans="1:3" x14ac:dyDescent="0.2">
      <c r="A8" t="s">
        <v>64</v>
      </c>
      <c r="B8" t="s">
        <v>726</v>
      </c>
      <c r="C8" t="str">
        <f>IF((COUNTIFS(MappingEditor!$F:$F,$A8,MappingEditor!$G:$G,$B8,MappingEditor!$J:$J,"Y")+COUNTIFS(FallbackEditor!$G:$G,$A8,FallbackEditor!$H:$H,$B8,FallbackEditor!$J:$J,"Y"))&gt;0,"mapped","unmapped")</f>
        <v>unmapped</v>
      </c>
    </row>
    <row r="9" spans="1:3" x14ac:dyDescent="0.2">
      <c r="A9" t="s">
        <v>64</v>
      </c>
      <c r="B9" t="s">
        <v>156</v>
      </c>
      <c r="C9" t="str">
        <f>IF((COUNTIFS(MappingEditor!$F:$F,$A9,MappingEditor!$G:$G,$B9,MappingEditor!$J:$J,"Y")+COUNTIFS(FallbackEditor!$G:$G,$A9,FallbackEditor!$H:$H,$B9,FallbackEditor!$J:$J,"Y"))&gt;0,"mapped","unmapped")</f>
        <v>unmapped</v>
      </c>
    </row>
    <row r="10" spans="1:3" x14ac:dyDescent="0.2">
      <c r="A10" t="s">
        <v>64</v>
      </c>
      <c r="B10" t="s">
        <v>727</v>
      </c>
      <c r="C10" t="str">
        <f>IF((COUNTIFS(MappingEditor!$F:$F,$A10,MappingEditor!$G:$G,$B10,MappingEditor!$J:$J,"Y")+COUNTIFS(FallbackEditor!$G:$G,$A10,FallbackEditor!$H:$H,$B10,FallbackEditor!$J:$J,"Y"))&gt;0,"mapped","unmapped")</f>
        <v>unmapped</v>
      </c>
    </row>
    <row r="11" spans="1:3" x14ac:dyDescent="0.2">
      <c r="A11" t="s">
        <v>64</v>
      </c>
      <c r="B11" t="s">
        <v>728</v>
      </c>
      <c r="C11" t="str">
        <f>IF((COUNTIFS(MappingEditor!$F:$F,$A11,MappingEditor!$G:$G,$B11,MappingEditor!$J:$J,"Y")+COUNTIFS(FallbackEditor!$G:$G,$A11,FallbackEditor!$H:$H,$B11,FallbackEditor!$J:$J,"Y"))&gt;0,"mapped","unmapped")</f>
        <v>unmapped</v>
      </c>
    </row>
    <row r="12" spans="1:3" x14ac:dyDescent="0.2">
      <c r="A12" t="s">
        <v>64</v>
      </c>
      <c r="B12" t="s">
        <v>729</v>
      </c>
      <c r="C12" t="str">
        <f>IF((COUNTIFS(MappingEditor!$F:$F,$A12,MappingEditor!$G:$G,$B12,MappingEditor!$J:$J,"Y")+COUNTIFS(FallbackEditor!$G:$G,$A12,FallbackEditor!$H:$H,$B12,FallbackEditor!$J:$J,"Y"))&gt;0,"mapped","unmapped")</f>
        <v>unmapped</v>
      </c>
    </row>
    <row r="13" spans="1:3" x14ac:dyDescent="0.2">
      <c r="A13" t="s">
        <v>64</v>
      </c>
      <c r="B13" t="s">
        <v>67</v>
      </c>
      <c r="C13" t="str">
        <f>IF((COUNTIFS(MappingEditor!$F:$F,$A13,MappingEditor!$G:$G,$B13,MappingEditor!$J:$J,"Y")+COUNTIFS(FallbackEditor!$G:$G,$A13,FallbackEditor!$H:$H,$B13,FallbackEditor!$J:$J,"Y"))&gt;0,"mapped","unmapped")</f>
        <v>unmapped</v>
      </c>
    </row>
    <row r="14" spans="1:3" x14ac:dyDescent="0.2">
      <c r="A14" t="s">
        <v>64</v>
      </c>
      <c r="B14" t="s">
        <v>316</v>
      </c>
      <c r="C14" t="str">
        <f>IF((COUNTIFS(MappingEditor!$F:$F,$A14,MappingEditor!$G:$G,$B14,MappingEditor!$J:$J,"Y")+COUNTIFS(FallbackEditor!$G:$G,$A14,FallbackEditor!$H:$H,$B14,FallbackEditor!$J:$J,"Y"))&gt;0,"mapped","unmapped")</f>
        <v>mapped</v>
      </c>
    </row>
    <row r="15" spans="1:3" x14ac:dyDescent="0.2">
      <c r="A15" t="s">
        <v>64</v>
      </c>
      <c r="B15" t="s">
        <v>730</v>
      </c>
      <c r="C15" t="str">
        <f>IF((COUNTIFS(MappingEditor!$F:$F,$A15,MappingEditor!$G:$G,$B15,MappingEditor!$J:$J,"Y")+COUNTIFS(FallbackEditor!$G:$G,$A15,FallbackEditor!$H:$H,$B15,FallbackEditor!$J:$J,"Y"))&gt;0,"mapped","unmapped")</f>
        <v>unmapped</v>
      </c>
    </row>
    <row r="16" spans="1:3" x14ac:dyDescent="0.2">
      <c r="A16" t="s">
        <v>64</v>
      </c>
      <c r="B16" t="s">
        <v>65</v>
      </c>
      <c r="C16" t="str">
        <f>IF((COUNTIFS(MappingEditor!$F:$F,$A16,MappingEditor!$G:$G,$B16,MappingEditor!$J:$J,"Y")+COUNTIFS(FallbackEditor!$G:$G,$A16,FallbackEditor!$H:$H,$B16,FallbackEditor!$J:$J,"Y"))&gt;0,"mapped","unmapped")</f>
        <v>mapped</v>
      </c>
    </row>
    <row r="17" spans="1:3" x14ac:dyDescent="0.2">
      <c r="A17" t="s">
        <v>64</v>
      </c>
      <c r="B17" t="s">
        <v>731</v>
      </c>
      <c r="C17" t="str">
        <f>IF((COUNTIFS(MappingEditor!$F:$F,$A17,MappingEditor!$G:$G,$B17,MappingEditor!$J:$J,"Y")+COUNTIFS(FallbackEditor!$G:$G,$A17,FallbackEditor!$H:$H,$B17,FallbackEditor!$J:$J,"Y"))&gt;0,"mapped","unmapped")</f>
        <v>unmapped</v>
      </c>
    </row>
    <row r="18" spans="1:3" x14ac:dyDescent="0.2">
      <c r="A18" t="s">
        <v>24</v>
      </c>
      <c r="B18" t="s">
        <v>179</v>
      </c>
      <c r="C18" t="str">
        <f>IF((COUNTIFS(MappingEditor!$F:$F,$A18,MappingEditor!$G:$G,$B18,MappingEditor!$J:$J,"Y")+COUNTIFS(FallbackEditor!$G:$G,$A18,FallbackEditor!$H:$H,$B18,FallbackEditor!$J:$J,"Y"))&gt;0,"mapped","unmapped")</f>
        <v>mapped</v>
      </c>
    </row>
    <row r="19" spans="1:3" x14ac:dyDescent="0.2">
      <c r="A19" t="s">
        <v>24</v>
      </c>
      <c r="B19" t="s">
        <v>721</v>
      </c>
      <c r="C19" t="str">
        <f>IF((COUNTIFS(MappingEditor!$F:$F,$A19,MappingEditor!$G:$G,$B19,MappingEditor!$J:$J,"Y")+COUNTIFS(FallbackEditor!$G:$G,$A19,FallbackEditor!$H:$H,$B19,FallbackEditor!$J:$J,"Y"))&gt;0,"mapped","unmapped")</f>
        <v>unmapped</v>
      </c>
    </row>
    <row r="20" spans="1:3" x14ac:dyDescent="0.2">
      <c r="A20" t="s">
        <v>24</v>
      </c>
      <c r="B20" t="s">
        <v>152</v>
      </c>
      <c r="C20" t="str">
        <f>IF((COUNTIFS(MappingEditor!$F:$F,$A20,MappingEditor!$G:$G,$B20,MappingEditor!$J:$J,"Y")+COUNTIFS(FallbackEditor!$G:$G,$A20,FallbackEditor!$H:$H,$B20,FallbackEditor!$J:$J,"Y"))&gt;0,"mapped","unmapped")</f>
        <v>mapped</v>
      </c>
    </row>
    <row r="21" spans="1:3" x14ac:dyDescent="0.2">
      <c r="A21" t="s">
        <v>24</v>
      </c>
      <c r="B21" t="s">
        <v>118</v>
      </c>
      <c r="C21" t="str">
        <f>IF((COUNTIFS(MappingEditor!$F:$F,$A21,MappingEditor!$G:$G,$B21,MappingEditor!$J:$J,"Y")+COUNTIFS(FallbackEditor!$G:$G,$A21,FallbackEditor!$H:$H,$B21,FallbackEditor!$J:$J,"Y"))&gt;0,"mapped","unmapped")</f>
        <v>mapped</v>
      </c>
    </row>
    <row r="22" spans="1:3" x14ac:dyDescent="0.2">
      <c r="A22" t="s">
        <v>24</v>
      </c>
      <c r="B22" t="s">
        <v>185</v>
      </c>
      <c r="C22" t="str">
        <f>IF((COUNTIFS(MappingEditor!$F:$F,$A22,MappingEditor!$G:$G,$B22,MappingEditor!$J:$J,"Y")+COUNTIFS(FallbackEditor!$G:$G,$A22,FallbackEditor!$H:$H,$B22,FallbackEditor!$J:$J,"Y"))&gt;0,"mapped","unmapped")</f>
        <v>mapped</v>
      </c>
    </row>
    <row r="23" spans="1:3" x14ac:dyDescent="0.2">
      <c r="A23" t="s">
        <v>24</v>
      </c>
      <c r="B23" t="s">
        <v>732</v>
      </c>
      <c r="C23" t="str">
        <f>IF((COUNTIFS(MappingEditor!$F:$F,$A23,MappingEditor!$G:$G,$B23,MappingEditor!$J:$J,"Y")+COUNTIFS(FallbackEditor!$G:$G,$A23,FallbackEditor!$H:$H,$B23,FallbackEditor!$J:$J,"Y"))&gt;0,"mapped","unmapped")</f>
        <v>unmapped</v>
      </c>
    </row>
    <row r="24" spans="1:3" x14ac:dyDescent="0.2">
      <c r="A24" t="s">
        <v>24</v>
      </c>
      <c r="B24" t="s">
        <v>733</v>
      </c>
      <c r="C24" t="str">
        <f>IF((COUNTIFS(MappingEditor!$F:$F,$A24,MappingEditor!$G:$G,$B24,MappingEditor!$J:$J,"Y")+COUNTIFS(FallbackEditor!$G:$G,$A24,FallbackEditor!$H:$H,$B24,FallbackEditor!$J:$J,"Y"))&gt;0,"mapped","unmapped")</f>
        <v>unmapped</v>
      </c>
    </row>
    <row r="25" spans="1:3" x14ac:dyDescent="0.2">
      <c r="A25" t="s">
        <v>24</v>
      </c>
      <c r="B25" t="s">
        <v>734</v>
      </c>
      <c r="C25" t="str">
        <f>IF((COUNTIFS(MappingEditor!$F:$F,$A25,MappingEditor!$G:$G,$B25,MappingEditor!$J:$J,"Y")+COUNTIFS(FallbackEditor!$G:$G,$A25,FallbackEditor!$H:$H,$B25,FallbackEditor!$J:$J,"Y"))&gt;0,"mapped","unmapped")</f>
        <v>unmapped</v>
      </c>
    </row>
    <row r="26" spans="1:3" x14ac:dyDescent="0.2">
      <c r="A26" t="s">
        <v>24</v>
      </c>
      <c r="B26" t="s">
        <v>725</v>
      </c>
      <c r="C26" t="str">
        <f>IF((COUNTIFS(MappingEditor!$F:$F,$A26,MappingEditor!$G:$G,$B26,MappingEditor!$J:$J,"Y")+COUNTIFS(FallbackEditor!$G:$G,$A26,FallbackEditor!$H:$H,$B26,FallbackEditor!$J:$J,"Y"))&gt;0,"mapped","unmapped")</f>
        <v>unmapped</v>
      </c>
    </row>
    <row r="27" spans="1:3" x14ac:dyDescent="0.2">
      <c r="A27" t="s">
        <v>24</v>
      </c>
      <c r="B27" t="s">
        <v>237</v>
      </c>
      <c r="C27" t="str">
        <f>IF((COUNTIFS(MappingEditor!$F:$F,$A27,MappingEditor!$G:$G,$B27,MappingEditor!$J:$J,"Y")+COUNTIFS(FallbackEditor!$G:$G,$A27,FallbackEditor!$H:$H,$B27,FallbackEditor!$J:$J,"Y"))&gt;0,"mapped","unmapped")</f>
        <v>mapped</v>
      </c>
    </row>
    <row r="28" spans="1:3" x14ac:dyDescent="0.2">
      <c r="A28" t="s">
        <v>24</v>
      </c>
      <c r="B28" t="s">
        <v>735</v>
      </c>
      <c r="C28" t="str">
        <f>IF((COUNTIFS(MappingEditor!$F:$F,$A28,MappingEditor!$G:$G,$B28,MappingEditor!$J:$J,"Y")+COUNTIFS(FallbackEditor!$G:$G,$A28,FallbackEditor!$H:$H,$B28,FallbackEditor!$J:$J,"Y"))&gt;0,"mapped","unmapped")</f>
        <v>unmapped</v>
      </c>
    </row>
    <row r="29" spans="1:3" x14ac:dyDescent="0.2">
      <c r="A29" t="s">
        <v>24</v>
      </c>
      <c r="B29" t="s">
        <v>736</v>
      </c>
      <c r="C29" t="str">
        <f>IF((COUNTIFS(MappingEditor!$F:$F,$A29,MappingEditor!$G:$G,$B29,MappingEditor!$J:$J,"Y")+COUNTIFS(FallbackEditor!$G:$G,$A29,FallbackEditor!$H:$H,$B29,FallbackEditor!$J:$J,"Y"))&gt;0,"mapped","unmapped")</f>
        <v>unmapped</v>
      </c>
    </row>
    <row r="30" spans="1:3" x14ac:dyDescent="0.2">
      <c r="A30" t="s">
        <v>24</v>
      </c>
      <c r="B30" t="s">
        <v>737</v>
      </c>
      <c r="C30" t="str">
        <f>IF((COUNTIFS(MappingEditor!$F:$F,$A30,MappingEditor!$G:$G,$B30,MappingEditor!$J:$J,"Y")+COUNTIFS(FallbackEditor!$G:$G,$A30,FallbackEditor!$H:$H,$B30,FallbackEditor!$J:$J,"Y"))&gt;0,"mapped","unmapped")</f>
        <v>unmapped</v>
      </c>
    </row>
    <row r="31" spans="1:3" x14ac:dyDescent="0.2">
      <c r="A31" t="s">
        <v>24</v>
      </c>
      <c r="B31" t="s">
        <v>738</v>
      </c>
      <c r="C31" t="str">
        <f>IF((COUNTIFS(MappingEditor!$F:$F,$A31,MappingEditor!$G:$G,$B31,MappingEditor!$J:$J,"Y")+COUNTIFS(FallbackEditor!$G:$G,$A31,FallbackEditor!$H:$H,$B31,FallbackEditor!$J:$J,"Y"))&gt;0,"mapped","unmapped")</f>
        <v>unmapped</v>
      </c>
    </row>
    <row r="32" spans="1:3" x14ac:dyDescent="0.2">
      <c r="A32" t="s">
        <v>24</v>
      </c>
      <c r="B32" t="s">
        <v>739</v>
      </c>
      <c r="C32" t="str">
        <f>IF((COUNTIFS(MappingEditor!$F:$F,$A32,MappingEditor!$G:$G,$B32,MappingEditor!$J:$J,"Y")+COUNTIFS(FallbackEditor!$G:$G,$A32,FallbackEditor!$H:$H,$B32,FallbackEditor!$J:$J,"Y"))&gt;0,"mapped","unmapped")</f>
        <v>unmapped</v>
      </c>
    </row>
    <row r="33" spans="1:3" x14ac:dyDescent="0.2">
      <c r="A33" t="s">
        <v>24</v>
      </c>
      <c r="B33" t="s">
        <v>740</v>
      </c>
      <c r="C33" t="str">
        <f>IF((COUNTIFS(MappingEditor!$F:$F,$A33,MappingEditor!$G:$G,$B33,MappingEditor!$J:$J,"Y")+COUNTIFS(FallbackEditor!$G:$G,$A33,FallbackEditor!$H:$H,$B33,FallbackEditor!$J:$J,"Y"))&gt;0,"mapped","unmapped")</f>
        <v>unmapped</v>
      </c>
    </row>
    <row r="34" spans="1:3" x14ac:dyDescent="0.2">
      <c r="A34" t="s">
        <v>24</v>
      </c>
      <c r="B34" t="s">
        <v>741</v>
      </c>
      <c r="C34" t="str">
        <f>IF((COUNTIFS(MappingEditor!$F:$F,$A34,MappingEditor!$G:$G,$B34,MappingEditor!$J:$J,"Y")+COUNTIFS(FallbackEditor!$G:$G,$A34,FallbackEditor!$H:$H,$B34,FallbackEditor!$J:$J,"Y"))&gt;0,"mapped","unmapped")</f>
        <v>unmapped</v>
      </c>
    </row>
    <row r="35" spans="1:3" x14ac:dyDescent="0.2">
      <c r="A35" t="s">
        <v>24</v>
      </c>
      <c r="B35" t="s">
        <v>742</v>
      </c>
      <c r="C35" t="str">
        <f>IF((COUNTIFS(MappingEditor!$F:$F,$A35,MappingEditor!$G:$G,$B35,MappingEditor!$J:$J,"Y")+COUNTIFS(FallbackEditor!$G:$G,$A35,FallbackEditor!$H:$H,$B35,FallbackEditor!$J:$J,"Y"))&gt;0,"mapped","unmapped")</f>
        <v>unmapped</v>
      </c>
    </row>
    <row r="36" spans="1:3" x14ac:dyDescent="0.2">
      <c r="A36" t="s">
        <v>24</v>
      </c>
      <c r="B36" t="s">
        <v>743</v>
      </c>
      <c r="C36" t="str">
        <f>IF((COUNTIFS(MappingEditor!$F:$F,$A36,MappingEditor!$G:$G,$B36,MappingEditor!$J:$J,"Y")+COUNTIFS(FallbackEditor!$G:$G,$A36,FallbackEditor!$H:$H,$B36,FallbackEditor!$J:$J,"Y"))&gt;0,"mapped","unmapped")</f>
        <v>unmapped</v>
      </c>
    </row>
    <row r="37" spans="1:3" x14ac:dyDescent="0.2">
      <c r="A37" t="s">
        <v>24</v>
      </c>
      <c r="B37" t="s">
        <v>744</v>
      </c>
      <c r="C37" t="str">
        <f>IF((COUNTIFS(MappingEditor!$F:$F,$A37,MappingEditor!$G:$G,$B37,MappingEditor!$J:$J,"Y")+COUNTIFS(FallbackEditor!$G:$G,$A37,FallbackEditor!$H:$H,$B37,FallbackEditor!$J:$J,"Y"))&gt;0,"mapped","unmapped")</f>
        <v>unmapped</v>
      </c>
    </row>
    <row r="38" spans="1:3" x14ac:dyDescent="0.2">
      <c r="A38" t="s">
        <v>24</v>
      </c>
      <c r="B38" t="s">
        <v>745</v>
      </c>
      <c r="C38" t="str">
        <f>IF((COUNTIFS(MappingEditor!$F:$F,$A38,MappingEditor!$G:$G,$B38,MappingEditor!$J:$J,"Y")+COUNTIFS(FallbackEditor!$G:$G,$A38,FallbackEditor!$H:$H,$B38,FallbackEditor!$J:$J,"Y"))&gt;0,"mapped","unmapped")</f>
        <v>unmapped</v>
      </c>
    </row>
    <row r="39" spans="1:3" x14ac:dyDescent="0.2">
      <c r="A39" t="s">
        <v>24</v>
      </c>
      <c r="B39" t="s">
        <v>746</v>
      </c>
      <c r="C39" t="str">
        <f>IF((COUNTIFS(MappingEditor!$F:$F,$A39,MappingEditor!$G:$G,$B39,MappingEditor!$J:$J,"Y")+COUNTIFS(FallbackEditor!$G:$G,$A39,FallbackEditor!$H:$H,$B39,FallbackEditor!$J:$J,"Y"))&gt;0,"mapped","unmapped")</f>
        <v>unmapped</v>
      </c>
    </row>
    <row r="40" spans="1:3" x14ac:dyDescent="0.2">
      <c r="A40" t="s">
        <v>24</v>
      </c>
      <c r="B40" t="s">
        <v>747</v>
      </c>
      <c r="C40" t="str">
        <f>IF((COUNTIFS(MappingEditor!$F:$F,$A40,MappingEditor!$G:$G,$B40,MappingEditor!$J:$J,"Y")+COUNTIFS(FallbackEditor!$G:$G,$A40,FallbackEditor!$H:$H,$B40,FallbackEditor!$J:$J,"Y"))&gt;0,"mapped","unmapped")</f>
        <v>unmapped</v>
      </c>
    </row>
    <row r="41" spans="1:3" x14ac:dyDescent="0.2">
      <c r="A41" t="s">
        <v>24</v>
      </c>
      <c r="B41" t="s">
        <v>52</v>
      </c>
      <c r="C41" t="str">
        <f>IF((COUNTIFS(MappingEditor!$F:$F,$A41,MappingEditor!$G:$G,$B41,MappingEditor!$J:$J,"Y")+COUNTIFS(FallbackEditor!$G:$G,$A41,FallbackEditor!$H:$H,$B41,FallbackEditor!$J:$J,"Y"))&gt;0,"mapped","unmapped")</f>
        <v>mapped</v>
      </c>
    </row>
    <row r="42" spans="1:3" x14ac:dyDescent="0.2">
      <c r="A42" t="s">
        <v>24</v>
      </c>
      <c r="B42" t="s">
        <v>726</v>
      </c>
      <c r="C42" t="str">
        <f>IF((COUNTIFS(MappingEditor!$F:$F,$A42,MappingEditor!$G:$G,$B42,MappingEditor!$J:$J,"Y")+COUNTIFS(FallbackEditor!$G:$G,$A42,FallbackEditor!$H:$H,$B42,FallbackEditor!$J:$J,"Y"))&gt;0,"mapped","unmapped")</f>
        <v>unmapped</v>
      </c>
    </row>
    <row r="43" spans="1:3" x14ac:dyDescent="0.2">
      <c r="A43" t="s">
        <v>24</v>
      </c>
      <c r="B43" t="s">
        <v>748</v>
      </c>
      <c r="C43" t="str">
        <f>IF((COUNTIFS(MappingEditor!$F:$F,$A43,MappingEditor!$G:$G,$B43,MappingEditor!$J:$J,"Y")+COUNTIFS(FallbackEditor!$G:$G,$A43,FallbackEditor!$H:$H,$B43,FallbackEditor!$J:$J,"Y"))&gt;0,"mapped","unmapped")</f>
        <v>unmapped</v>
      </c>
    </row>
    <row r="44" spans="1:3" x14ac:dyDescent="0.2">
      <c r="A44" t="s">
        <v>24</v>
      </c>
      <c r="B44" t="s">
        <v>156</v>
      </c>
      <c r="C44" t="str">
        <f>IF((COUNTIFS(MappingEditor!$F:$F,$A44,MappingEditor!$G:$G,$B44,MappingEditor!$J:$J,"Y")+COUNTIFS(FallbackEditor!$G:$G,$A44,FallbackEditor!$H:$H,$B44,FallbackEditor!$J:$J,"Y"))&gt;0,"mapped","unmapped")</f>
        <v>mapped</v>
      </c>
    </row>
    <row r="45" spans="1:3" x14ac:dyDescent="0.2">
      <c r="A45" t="s">
        <v>24</v>
      </c>
      <c r="B45" t="s">
        <v>749</v>
      </c>
      <c r="C45" t="str">
        <f>IF((COUNTIFS(MappingEditor!$F:$F,$A45,MappingEditor!$G:$G,$B45,MappingEditor!$J:$J,"Y")+COUNTIFS(FallbackEditor!$G:$G,$A45,FallbackEditor!$H:$H,$B45,FallbackEditor!$J:$J,"Y"))&gt;0,"mapped","unmapped")</f>
        <v>unmapped</v>
      </c>
    </row>
    <row r="46" spans="1:3" x14ac:dyDescent="0.2">
      <c r="A46" t="s">
        <v>24</v>
      </c>
      <c r="B46" t="s">
        <v>750</v>
      </c>
      <c r="C46" t="str">
        <f>IF((COUNTIFS(MappingEditor!$F:$F,$A46,MappingEditor!$G:$G,$B46,MappingEditor!$J:$J,"Y")+COUNTIFS(FallbackEditor!$G:$G,$A46,FallbackEditor!$H:$H,$B46,FallbackEditor!$J:$J,"Y"))&gt;0,"mapped","unmapped")</f>
        <v>unmapped</v>
      </c>
    </row>
    <row r="47" spans="1:3" x14ac:dyDescent="0.2">
      <c r="A47" t="s">
        <v>24</v>
      </c>
      <c r="B47" t="s">
        <v>75</v>
      </c>
      <c r="C47" t="str">
        <f>IF((COUNTIFS(MappingEditor!$F:$F,$A47,MappingEditor!$G:$G,$B47,MappingEditor!$J:$J,"Y")+COUNTIFS(FallbackEditor!$G:$G,$A47,FallbackEditor!$H:$H,$B47,FallbackEditor!$J:$J,"Y"))&gt;0,"mapped","unmapped")</f>
        <v>mapped</v>
      </c>
    </row>
    <row r="48" spans="1:3" x14ac:dyDescent="0.2">
      <c r="A48" t="s">
        <v>24</v>
      </c>
      <c r="B48" t="s">
        <v>171</v>
      </c>
      <c r="C48" t="str">
        <f>IF((COUNTIFS(MappingEditor!$F:$F,$A48,MappingEditor!$G:$G,$B48,MappingEditor!$J:$J,"Y")+COUNTIFS(FallbackEditor!$G:$G,$A48,FallbackEditor!$H:$H,$B48,FallbackEditor!$J:$J,"Y"))&gt;0,"mapped","unmapped")</f>
        <v>mapped</v>
      </c>
    </row>
    <row r="49" spans="1:3" x14ac:dyDescent="0.2">
      <c r="A49" t="s">
        <v>24</v>
      </c>
      <c r="B49" t="s">
        <v>77</v>
      </c>
      <c r="C49" t="str">
        <f>IF((COUNTIFS(MappingEditor!$F:$F,$A49,MappingEditor!$G:$G,$B49,MappingEditor!$J:$J,"Y")+COUNTIFS(FallbackEditor!$G:$G,$A49,FallbackEditor!$H:$H,$B49,FallbackEditor!$J:$J,"Y"))&gt;0,"mapped","unmapped")</f>
        <v>mapped</v>
      </c>
    </row>
    <row r="50" spans="1:3" x14ac:dyDescent="0.2">
      <c r="A50" t="s">
        <v>24</v>
      </c>
      <c r="B50" t="s">
        <v>164</v>
      </c>
      <c r="C50" t="str">
        <f>IF((COUNTIFS(MappingEditor!$F:$F,$A50,MappingEditor!$G:$G,$B50,MappingEditor!$J:$J,"Y")+COUNTIFS(FallbackEditor!$G:$G,$A50,FallbackEditor!$H:$H,$B50,FallbackEditor!$J:$J,"Y"))&gt;0,"mapped","unmapped")</f>
        <v>mapped</v>
      </c>
    </row>
    <row r="51" spans="1:3" x14ac:dyDescent="0.2">
      <c r="A51" t="s">
        <v>24</v>
      </c>
      <c r="B51" t="s">
        <v>751</v>
      </c>
      <c r="C51" t="str">
        <f>IF((COUNTIFS(MappingEditor!$F:$F,$A51,MappingEditor!$G:$G,$B51,MappingEditor!$J:$J,"Y")+COUNTIFS(FallbackEditor!$G:$G,$A51,FallbackEditor!$H:$H,$B51,FallbackEditor!$J:$J,"Y"))&gt;0,"mapped","unmapped")</f>
        <v>unmapped</v>
      </c>
    </row>
    <row r="52" spans="1:3" x14ac:dyDescent="0.2">
      <c r="A52" t="s">
        <v>24</v>
      </c>
      <c r="B52" t="s">
        <v>752</v>
      </c>
      <c r="C52" t="str">
        <f>IF((COUNTIFS(MappingEditor!$F:$F,$A52,MappingEditor!$G:$G,$B52,MappingEditor!$J:$J,"Y")+COUNTIFS(FallbackEditor!$G:$G,$A52,FallbackEditor!$H:$H,$B52,FallbackEditor!$J:$J,"Y"))&gt;0,"mapped","unmapped")</f>
        <v>unmapped</v>
      </c>
    </row>
    <row r="53" spans="1:3" x14ac:dyDescent="0.2">
      <c r="A53" t="s">
        <v>24</v>
      </c>
      <c r="B53" t="s">
        <v>38</v>
      </c>
      <c r="C53" t="str">
        <f>IF((COUNTIFS(MappingEditor!$F:$F,$A53,MappingEditor!$G:$G,$B53,MappingEditor!$J:$J,"Y")+COUNTIFS(FallbackEditor!$G:$G,$A53,FallbackEditor!$H:$H,$B53,FallbackEditor!$J:$J,"Y"))&gt;0,"mapped","unmapped")</f>
        <v>mapped</v>
      </c>
    </row>
    <row r="54" spans="1:3" x14ac:dyDescent="0.2">
      <c r="A54" t="s">
        <v>24</v>
      </c>
      <c r="B54" t="s">
        <v>753</v>
      </c>
      <c r="C54" t="str">
        <f>IF((COUNTIFS(MappingEditor!$F:$F,$A54,MappingEditor!$G:$G,$B54,MappingEditor!$J:$J,"Y")+COUNTIFS(FallbackEditor!$G:$G,$A54,FallbackEditor!$H:$H,$B54,FallbackEditor!$J:$J,"Y"))&gt;0,"mapped","unmapped")</f>
        <v>unmapped</v>
      </c>
    </row>
    <row r="55" spans="1:3" x14ac:dyDescent="0.2">
      <c r="A55" t="s">
        <v>24</v>
      </c>
      <c r="B55" t="s">
        <v>754</v>
      </c>
      <c r="C55" t="str">
        <f>IF((COUNTIFS(MappingEditor!$F:$F,$A55,MappingEditor!$G:$G,$B55,MappingEditor!$J:$J,"Y")+COUNTIFS(FallbackEditor!$G:$G,$A55,FallbackEditor!$H:$H,$B55,FallbackEditor!$J:$J,"Y"))&gt;0,"mapped","unmapped")</f>
        <v>unmapped</v>
      </c>
    </row>
    <row r="56" spans="1:3" x14ac:dyDescent="0.2">
      <c r="A56" t="s">
        <v>24</v>
      </c>
      <c r="B56" t="s">
        <v>56</v>
      </c>
      <c r="C56" t="str">
        <f>IF((COUNTIFS(MappingEditor!$F:$F,$A56,MappingEditor!$G:$G,$B56,MappingEditor!$J:$J,"Y")+COUNTIFS(FallbackEditor!$G:$G,$A56,FallbackEditor!$H:$H,$B56,FallbackEditor!$J:$J,"Y"))&gt;0,"mapped","unmapped")</f>
        <v>mapped</v>
      </c>
    </row>
    <row r="57" spans="1:3" x14ac:dyDescent="0.2">
      <c r="A57" t="s">
        <v>24</v>
      </c>
      <c r="B57" t="s">
        <v>729</v>
      </c>
      <c r="C57" t="str">
        <f>IF((COUNTIFS(MappingEditor!$F:$F,$A57,MappingEditor!$G:$G,$B57,MappingEditor!$J:$J,"Y")+COUNTIFS(FallbackEditor!$G:$G,$A57,FallbackEditor!$H:$H,$B57,FallbackEditor!$J:$J,"Y"))&gt;0,"mapped","unmapped")</f>
        <v>unmapped</v>
      </c>
    </row>
    <row r="58" spans="1:3" x14ac:dyDescent="0.2">
      <c r="A58" t="s">
        <v>24</v>
      </c>
      <c r="B58" t="s">
        <v>755</v>
      </c>
      <c r="C58" t="str">
        <f>IF((COUNTIFS(MappingEditor!$F:$F,$A58,MappingEditor!$G:$G,$B58,MappingEditor!$J:$J,"Y")+COUNTIFS(FallbackEditor!$G:$G,$A58,FallbackEditor!$H:$H,$B58,FallbackEditor!$J:$J,"Y"))&gt;0,"mapped","unmapped")</f>
        <v>unmapped</v>
      </c>
    </row>
    <row r="59" spans="1:3" x14ac:dyDescent="0.2">
      <c r="A59" t="s">
        <v>24</v>
      </c>
      <c r="B59" t="s">
        <v>756</v>
      </c>
      <c r="C59" t="str">
        <f>IF((COUNTIFS(MappingEditor!$F:$F,$A59,MappingEditor!$G:$G,$B59,MappingEditor!$J:$J,"Y")+COUNTIFS(FallbackEditor!$G:$G,$A59,FallbackEditor!$H:$H,$B59,FallbackEditor!$J:$J,"Y"))&gt;0,"mapped","unmapped")</f>
        <v>unmapped</v>
      </c>
    </row>
    <row r="60" spans="1:3" x14ac:dyDescent="0.2">
      <c r="A60" t="s">
        <v>24</v>
      </c>
      <c r="B60" t="s">
        <v>192</v>
      </c>
      <c r="C60" t="str">
        <f>IF((COUNTIFS(MappingEditor!$F:$F,$A60,MappingEditor!$G:$G,$B60,MappingEditor!$J:$J,"Y")+COUNTIFS(FallbackEditor!$G:$G,$A60,FallbackEditor!$H:$H,$B60,FallbackEditor!$J:$J,"Y"))&gt;0,"mapped","unmapped")</f>
        <v>mapped</v>
      </c>
    </row>
    <row r="61" spans="1:3" x14ac:dyDescent="0.2">
      <c r="A61" t="s">
        <v>24</v>
      </c>
      <c r="B61" t="s">
        <v>757</v>
      </c>
      <c r="C61" t="str">
        <f>IF((COUNTIFS(MappingEditor!$F:$F,$A61,MappingEditor!$G:$G,$B61,MappingEditor!$J:$J,"Y")+COUNTIFS(FallbackEditor!$G:$G,$A61,FallbackEditor!$H:$H,$B61,FallbackEditor!$J:$J,"Y"))&gt;0,"mapped","unmapped")</f>
        <v>unmapped</v>
      </c>
    </row>
    <row r="62" spans="1:3" x14ac:dyDescent="0.2">
      <c r="A62" t="s">
        <v>24</v>
      </c>
      <c r="B62" t="s">
        <v>758</v>
      </c>
      <c r="C62" t="str">
        <f>IF((COUNTIFS(MappingEditor!$F:$F,$A62,MappingEditor!$G:$G,$B62,MappingEditor!$J:$J,"Y")+COUNTIFS(FallbackEditor!$G:$G,$A62,FallbackEditor!$H:$H,$B62,FallbackEditor!$J:$J,"Y"))&gt;0,"mapped","unmapped")</f>
        <v>unmapped</v>
      </c>
    </row>
    <row r="63" spans="1:3" x14ac:dyDescent="0.2">
      <c r="A63" t="s">
        <v>24</v>
      </c>
      <c r="B63" t="s">
        <v>759</v>
      </c>
      <c r="C63" t="str">
        <f>IF((COUNTIFS(MappingEditor!$F:$F,$A63,MappingEditor!$G:$G,$B63,MappingEditor!$J:$J,"Y")+COUNTIFS(FallbackEditor!$G:$G,$A63,FallbackEditor!$H:$H,$B63,FallbackEditor!$J:$J,"Y"))&gt;0,"mapped","unmapped")</f>
        <v>unmapped</v>
      </c>
    </row>
    <row r="64" spans="1:3" x14ac:dyDescent="0.2">
      <c r="A64" t="s">
        <v>24</v>
      </c>
      <c r="B64" t="s">
        <v>760</v>
      </c>
      <c r="C64" t="str">
        <f>IF((COUNTIFS(MappingEditor!$F:$F,$A64,MappingEditor!$G:$G,$B64,MappingEditor!$J:$J,"Y")+COUNTIFS(FallbackEditor!$G:$G,$A64,FallbackEditor!$H:$H,$B64,FallbackEditor!$J:$J,"Y"))&gt;0,"mapped","unmapped")</f>
        <v>unmapped</v>
      </c>
    </row>
    <row r="65" spans="1:3" x14ac:dyDescent="0.2">
      <c r="A65" t="s">
        <v>24</v>
      </c>
      <c r="B65" t="s">
        <v>761</v>
      </c>
      <c r="C65" t="str">
        <f>IF((COUNTIFS(MappingEditor!$F:$F,$A65,MappingEditor!$G:$G,$B65,MappingEditor!$J:$J,"Y")+COUNTIFS(FallbackEditor!$G:$G,$A65,FallbackEditor!$H:$H,$B65,FallbackEditor!$J:$J,"Y"))&gt;0,"mapped","unmapped")</f>
        <v>unmapped</v>
      </c>
    </row>
    <row r="66" spans="1:3" x14ac:dyDescent="0.2">
      <c r="A66" t="s">
        <v>24</v>
      </c>
      <c r="B66" t="s">
        <v>762</v>
      </c>
      <c r="C66" t="str">
        <f>IF((COUNTIFS(MappingEditor!$F:$F,$A66,MappingEditor!$G:$G,$B66,MappingEditor!$J:$J,"Y")+COUNTIFS(FallbackEditor!$G:$G,$A66,FallbackEditor!$H:$H,$B66,FallbackEditor!$J:$J,"Y"))&gt;0,"mapped","unmapped")</f>
        <v>unmapped</v>
      </c>
    </row>
    <row r="67" spans="1:3" x14ac:dyDescent="0.2">
      <c r="A67" t="s">
        <v>24</v>
      </c>
      <c r="B67" t="s">
        <v>763</v>
      </c>
      <c r="C67" t="str">
        <f>IF((COUNTIFS(MappingEditor!$F:$F,$A67,MappingEditor!$G:$G,$B67,MappingEditor!$J:$J,"Y")+COUNTIFS(FallbackEditor!$G:$G,$A67,FallbackEditor!$H:$H,$B67,FallbackEditor!$J:$J,"Y"))&gt;0,"mapped","unmapped")</f>
        <v>unmapped</v>
      </c>
    </row>
    <row r="68" spans="1:3" x14ac:dyDescent="0.2">
      <c r="A68" t="s">
        <v>24</v>
      </c>
      <c r="B68" t="s">
        <v>36</v>
      </c>
      <c r="C68" t="str">
        <f>IF((COUNTIFS(MappingEditor!$F:$F,$A68,MappingEditor!$G:$G,$B68,MappingEditor!$J:$J,"Y")+COUNTIFS(FallbackEditor!$G:$G,$A68,FallbackEditor!$H:$H,$B68,FallbackEditor!$J:$J,"Y"))&gt;0,"mapped","unmapped")</f>
        <v>mapped</v>
      </c>
    </row>
    <row r="69" spans="1:3" x14ac:dyDescent="0.2">
      <c r="A69" t="s">
        <v>24</v>
      </c>
      <c r="B69" t="s">
        <v>26</v>
      </c>
      <c r="C69" t="str">
        <f>IF((COUNTIFS(MappingEditor!$F:$F,$A69,MappingEditor!$G:$G,$B69,MappingEditor!$J:$J,"Y")+COUNTIFS(FallbackEditor!$G:$G,$A69,FallbackEditor!$H:$H,$B69,FallbackEditor!$J:$J,"Y"))&gt;0,"mapped","unmapped")</f>
        <v>mapped</v>
      </c>
    </row>
    <row r="70" spans="1:3" x14ac:dyDescent="0.2">
      <c r="A70" t="s">
        <v>24</v>
      </c>
      <c r="B70" t="s">
        <v>167</v>
      </c>
      <c r="C70" t="str">
        <f>IF((COUNTIFS(MappingEditor!$F:$F,$A70,MappingEditor!$G:$G,$B70,MappingEditor!$J:$J,"Y")+COUNTIFS(FallbackEditor!$G:$G,$A70,FallbackEditor!$H:$H,$B70,FallbackEditor!$J:$J,"Y"))&gt;0,"mapped","unmapped")</f>
        <v>mapped</v>
      </c>
    </row>
    <row r="71" spans="1:3" x14ac:dyDescent="0.2">
      <c r="A71" t="s">
        <v>24</v>
      </c>
      <c r="B71" t="s">
        <v>764</v>
      </c>
      <c r="C71" t="str">
        <f>IF((COUNTIFS(MappingEditor!$F:$F,$A71,MappingEditor!$G:$G,$B71,MappingEditor!$J:$J,"Y")+COUNTIFS(FallbackEditor!$G:$G,$A71,FallbackEditor!$H:$H,$B71,FallbackEditor!$J:$J,"Y"))&gt;0,"mapped","unmapped")</f>
        <v>unmapped</v>
      </c>
    </row>
    <row r="72" spans="1:3" x14ac:dyDescent="0.2">
      <c r="A72" t="s">
        <v>24</v>
      </c>
      <c r="B72" t="s">
        <v>67</v>
      </c>
      <c r="C72" t="str">
        <f>IF((COUNTIFS(MappingEditor!$F:$F,$A72,MappingEditor!$G:$G,$B72,MappingEditor!$J:$J,"Y")+COUNTIFS(FallbackEditor!$G:$G,$A72,FallbackEditor!$H:$H,$B72,FallbackEditor!$J:$J,"Y"))&gt;0,"mapped","unmapped")</f>
        <v>mapped</v>
      </c>
    </row>
    <row r="73" spans="1:3" x14ac:dyDescent="0.2">
      <c r="A73" t="s">
        <v>24</v>
      </c>
      <c r="B73" t="s">
        <v>162</v>
      </c>
      <c r="C73" t="str">
        <f>IF((COUNTIFS(MappingEditor!$F:$F,$A73,MappingEditor!$G:$G,$B73,MappingEditor!$J:$J,"Y")+COUNTIFS(FallbackEditor!$G:$G,$A73,FallbackEditor!$H:$H,$B73,FallbackEditor!$J:$J,"Y"))&gt;0,"mapped","unmapped")</f>
        <v>mapped</v>
      </c>
    </row>
    <row r="74" spans="1:3" x14ac:dyDescent="0.2">
      <c r="A74" t="s">
        <v>24</v>
      </c>
      <c r="B74" t="s">
        <v>765</v>
      </c>
      <c r="C74" t="str">
        <f>IF((COUNTIFS(MappingEditor!$F:$F,$A74,MappingEditor!$G:$G,$B74,MappingEditor!$J:$J,"Y")+COUNTIFS(FallbackEditor!$G:$G,$A74,FallbackEditor!$H:$H,$B74,FallbackEditor!$J:$J,"Y"))&gt;0,"mapped","unmapped")</f>
        <v>unmapped</v>
      </c>
    </row>
    <row r="75" spans="1:3" x14ac:dyDescent="0.2">
      <c r="A75" t="s">
        <v>24</v>
      </c>
      <c r="B75" t="s">
        <v>169</v>
      </c>
      <c r="C75" t="str">
        <f>IF((COUNTIFS(MappingEditor!$F:$F,$A75,MappingEditor!$G:$G,$B75,MappingEditor!$J:$J,"Y")+COUNTIFS(FallbackEditor!$G:$G,$A75,FallbackEditor!$H:$H,$B75,FallbackEditor!$J:$J,"Y"))&gt;0,"mapped","unmapped")</f>
        <v>mapped</v>
      </c>
    </row>
    <row r="76" spans="1:3" x14ac:dyDescent="0.2">
      <c r="A76" t="s">
        <v>24</v>
      </c>
      <c r="B76" t="s">
        <v>88</v>
      </c>
      <c r="C76" t="str">
        <f>IF((COUNTIFS(MappingEditor!$F:$F,$A76,MappingEditor!$G:$G,$B76,MappingEditor!$J:$J,"Y")+COUNTIFS(FallbackEditor!$G:$G,$A76,FallbackEditor!$H:$H,$B76,FallbackEditor!$J:$J,"Y"))&gt;0,"mapped","unmapped")</f>
        <v>mapped</v>
      </c>
    </row>
    <row r="77" spans="1:3" x14ac:dyDescent="0.2">
      <c r="A77" t="s">
        <v>24</v>
      </c>
      <c r="B77" t="s">
        <v>766</v>
      </c>
      <c r="C77" t="str">
        <f>IF((COUNTIFS(MappingEditor!$F:$F,$A77,MappingEditor!$G:$G,$B77,MappingEditor!$J:$J,"Y")+COUNTIFS(FallbackEditor!$G:$G,$A77,FallbackEditor!$H:$H,$B77,FallbackEditor!$J:$J,"Y"))&gt;0,"mapped","unmapped")</f>
        <v>unmapped</v>
      </c>
    </row>
    <row r="78" spans="1:3" x14ac:dyDescent="0.2">
      <c r="A78" t="s">
        <v>24</v>
      </c>
      <c r="B78" t="s">
        <v>101</v>
      </c>
      <c r="C78" t="str">
        <f>IF((COUNTIFS(MappingEditor!$F:$F,$A78,MappingEditor!$G:$G,$B78,MappingEditor!$J:$J,"Y")+COUNTIFS(FallbackEditor!$G:$G,$A78,FallbackEditor!$H:$H,$B78,FallbackEditor!$J:$J,"Y"))&gt;0,"mapped","unmapped")</f>
        <v>mapped</v>
      </c>
    </row>
    <row r="79" spans="1:3" x14ac:dyDescent="0.2">
      <c r="A79" t="s">
        <v>24</v>
      </c>
      <c r="B79" t="s">
        <v>767</v>
      </c>
      <c r="C79" t="str">
        <f>IF((COUNTIFS(MappingEditor!$F:$F,$A79,MappingEditor!$G:$G,$B79,MappingEditor!$J:$J,"Y")+COUNTIFS(FallbackEditor!$G:$G,$A79,FallbackEditor!$H:$H,$B79,FallbackEditor!$J:$J,"Y"))&gt;0,"mapped","unmapped")</f>
        <v>unmapped</v>
      </c>
    </row>
    <row r="80" spans="1:3" x14ac:dyDescent="0.2">
      <c r="A80" t="s">
        <v>24</v>
      </c>
      <c r="B80" t="s">
        <v>768</v>
      </c>
      <c r="C80" t="str">
        <f>IF((COUNTIFS(MappingEditor!$F:$F,$A80,MappingEditor!$G:$G,$B80,MappingEditor!$J:$J,"Y")+COUNTIFS(FallbackEditor!$G:$G,$A80,FallbackEditor!$H:$H,$B80,FallbackEditor!$J:$J,"Y"))&gt;0,"mapped","unmapped")</f>
        <v>unmapped</v>
      </c>
    </row>
    <row r="81" spans="1:3" x14ac:dyDescent="0.2">
      <c r="A81" t="s">
        <v>24</v>
      </c>
      <c r="B81" t="s">
        <v>59</v>
      </c>
      <c r="C81" t="str">
        <f>IF((COUNTIFS(MappingEditor!$F:$F,$A81,MappingEditor!$G:$G,$B81,MappingEditor!$J:$J,"Y")+COUNTIFS(FallbackEditor!$G:$G,$A81,FallbackEditor!$H:$H,$B81,FallbackEditor!$J:$J,"Y"))&gt;0,"mapped","unmapped")</f>
        <v>mapped</v>
      </c>
    </row>
    <row r="82" spans="1:3" x14ac:dyDescent="0.2">
      <c r="A82" t="s">
        <v>24</v>
      </c>
      <c r="B82" t="s">
        <v>769</v>
      </c>
      <c r="C82" t="str">
        <f>IF((COUNTIFS(MappingEditor!$F:$F,$A82,MappingEditor!$G:$G,$B82,MappingEditor!$J:$J,"Y")+COUNTIFS(FallbackEditor!$G:$G,$A82,FallbackEditor!$H:$H,$B82,FallbackEditor!$J:$J,"Y"))&gt;0,"mapped","unmapped")</f>
        <v>unmapped</v>
      </c>
    </row>
    <row r="83" spans="1:3" x14ac:dyDescent="0.2">
      <c r="A83" t="s">
        <v>24</v>
      </c>
      <c r="B83" t="s">
        <v>770</v>
      </c>
      <c r="C83" t="str">
        <f>IF((COUNTIFS(MappingEditor!$F:$F,$A83,MappingEditor!$G:$G,$B83,MappingEditor!$J:$J,"Y")+COUNTIFS(FallbackEditor!$G:$G,$A83,FallbackEditor!$H:$H,$B83,FallbackEditor!$J:$J,"Y"))&gt;0,"mapped","unmapped")</f>
        <v>unmapped</v>
      </c>
    </row>
    <row r="84" spans="1:3" x14ac:dyDescent="0.2">
      <c r="A84" t="s">
        <v>24</v>
      </c>
      <c r="B84" t="s">
        <v>97</v>
      </c>
      <c r="C84" t="str">
        <f>IF((COUNTIFS(MappingEditor!$F:$F,$A84,MappingEditor!$G:$G,$B84,MappingEditor!$J:$J,"Y")+COUNTIFS(FallbackEditor!$G:$G,$A84,FallbackEditor!$H:$H,$B84,FallbackEditor!$J:$J,"Y"))&gt;0,"mapped","unmapped")</f>
        <v>mapped</v>
      </c>
    </row>
    <row r="85" spans="1:3" x14ac:dyDescent="0.2">
      <c r="A85" t="s">
        <v>24</v>
      </c>
      <c r="B85" t="s">
        <v>186</v>
      </c>
      <c r="C85" t="str">
        <f>IF((COUNTIFS(MappingEditor!$F:$F,$A85,MappingEditor!$G:$G,$B85,MappingEditor!$J:$J,"Y")+COUNTIFS(FallbackEditor!$G:$G,$A85,FallbackEditor!$H:$H,$B85,FallbackEditor!$J:$J,"Y"))&gt;0,"mapped","unmapped")</f>
        <v>mapped</v>
      </c>
    </row>
    <row r="86" spans="1:3" x14ac:dyDescent="0.2">
      <c r="A86" t="s">
        <v>24</v>
      </c>
      <c r="B86" t="s">
        <v>730</v>
      </c>
      <c r="C86" t="str">
        <f>IF((COUNTIFS(MappingEditor!$F:$F,$A86,MappingEditor!$G:$G,$B86,MappingEditor!$J:$J,"Y")+COUNTIFS(FallbackEditor!$G:$G,$A86,FallbackEditor!$H:$H,$B86,FallbackEditor!$J:$J,"Y"))&gt;0,"mapped","unmapped")</f>
        <v>unmapped</v>
      </c>
    </row>
    <row r="87" spans="1:3" x14ac:dyDescent="0.2">
      <c r="A87" t="s">
        <v>24</v>
      </c>
      <c r="B87" t="s">
        <v>771</v>
      </c>
      <c r="C87" t="str">
        <f>IF((COUNTIFS(MappingEditor!$F:$F,$A87,MappingEditor!$G:$G,$B87,MappingEditor!$J:$J,"Y")+COUNTIFS(FallbackEditor!$G:$G,$A87,FallbackEditor!$H:$H,$B87,FallbackEditor!$J:$J,"Y"))&gt;0,"mapped","unmapped")</f>
        <v>unmapped</v>
      </c>
    </row>
    <row r="88" spans="1:3" x14ac:dyDescent="0.2">
      <c r="A88" t="s">
        <v>24</v>
      </c>
      <c r="B88" t="s">
        <v>81</v>
      </c>
      <c r="C88" t="str">
        <f>IF((COUNTIFS(MappingEditor!$F:$F,$A88,MappingEditor!$G:$G,$B88,MappingEditor!$J:$J,"Y")+COUNTIFS(FallbackEditor!$G:$G,$A88,FallbackEditor!$H:$H,$B88,FallbackEditor!$J:$J,"Y"))&gt;0,"mapped","unmapped")</f>
        <v>mapped</v>
      </c>
    </row>
    <row r="89" spans="1:3" x14ac:dyDescent="0.2">
      <c r="A89" t="s">
        <v>24</v>
      </c>
      <c r="B89" t="s">
        <v>772</v>
      </c>
      <c r="C89" t="str">
        <f>IF((COUNTIFS(MappingEditor!$F:$F,$A89,MappingEditor!$G:$G,$B89,MappingEditor!$J:$J,"Y")+COUNTIFS(FallbackEditor!$G:$G,$A89,FallbackEditor!$H:$H,$B89,FallbackEditor!$J:$J,"Y"))&gt;0,"mapped","unmapped")</f>
        <v>unmapped</v>
      </c>
    </row>
    <row r="90" spans="1:3" x14ac:dyDescent="0.2">
      <c r="A90" t="s">
        <v>24</v>
      </c>
      <c r="B90" t="s">
        <v>104</v>
      </c>
      <c r="C90" t="str">
        <f>IF((COUNTIFS(MappingEditor!$F:$F,$A90,MappingEditor!$G:$G,$B90,MappingEditor!$J:$J,"Y")+COUNTIFS(FallbackEditor!$G:$G,$A90,FallbackEditor!$H:$H,$B90,FallbackEditor!$J:$J,"Y"))&gt;0,"mapped","unmapped")</f>
        <v>mapped</v>
      </c>
    </row>
    <row r="91" spans="1:3" x14ac:dyDescent="0.2">
      <c r="A91" t="s">
        <v>24</v>
      </c>
      <c r="B91" t="s">
        <v>773</v>
      </c>
      <c r="C91" t="str">
        <f>IF((COUNTIFS(MappingEditor!$F:$F,$A91,MappingEditor!$G:$G,$B91,MappingEditor!$J:$J,"Y")+COUNTIFS(FallbackEditor!$G:$G,$A91,FallbackEditor!$H:$H,$B91,FallbackEditor!$J:$J,"Y"))&gt;0,"mapped","unmapped")</f>
        <v>unmapped</v>
      </c>
    </row>
    <row r="92" spans="1:3" x14ac:dyDescent="0.2">
      <c r="A92" t="s">
        <v>24</v>
      </c>
      <c r="B92" t="s">
        <v>183</v>
      </c>
      <c r="C92" t="str">
        <f>IF((COUNTIFS(MappingEditor!$F:$F,$A92,MappingEditor!$G:$G,$B92,MappingEditor!$J:$J,"Y")+COUNTIFS(FallbackEditor!$G:$G,$A92,FallbackEditor!$H:$H,$B92,FallbackEditor!$J:$J,"Y"))&gt;0,"mapped","unmapped")</f>
        <v>mapped</v>
      </c>
    </row>
    <row r="93" spans="1:3" x14ac:dyDescent="0.2">
      <c r="A93" t="s">
        <v>24</v>
      </c>
      <c r="B93" t="s">
        <v>28</v>
      </c>
      <c r="C93" t="str">
        <f>IF((COUNTIFS(MappingEditor!$F:$F,$A93,MappingEditor!$G:$G,$B93,MappingEditor!$J:$J,"Y")+COUNTIFS(FallbackEditor!$G:$G,$A93,FallbackEditor!$H:$H,$B93,FallbackEditor!$J:$J,"Y"))&gt;0,"mapped","unmapped")</f>
        <v>mapped</v>
      </c>
    </row>
    <row r="94" spans="1:3" x14ac:dyDescent="0.2">
      <c r="A94" t="s">
        <v>24</v>
      </c>
      <c r="B94" t="s">
        <v>774</v>
      </c>
      <c r="C94" t="str">
        <f>IF((COUNTIFS(MappingEditor!$F:$F,$A94,MappingEditor!$G:$G,$B94,MappingEditor!$J:$J,"Y")+COUNTIFS(FallbackEditor!$G:$G,$A94,FallbackEditor!$H:$H,$B94,FallbackEditor!$J:$J,"Y"))&gt;0,"mapped","unmapped")</f>
        <v>unmapped</v>
      </c>
    </row>
    <row r="95" spans="1:3" x14ac:dyDescent="0.2">
      <c r="A95" t="s">
        <v>24</v>
      </c>
      <c r="B95" t="s">
        <v>200</v>
      </c>
      <c r="C95" t="str">
        <f>IF((COUNTIFS(MappingEditor!$F:$F,$A95,MappingEditor!$G:$G,$B95,MappingEditor!$J:$J,"Y")+COUNTIFS(FallbackEditor!$G:$G,$A95,FallbackEditor!$H:$H,$B95,FallbackEditor!$J:$J,"Y"))&gt;0,"mapped","unmapped")</f>
        <v>mapped</v>
      </c>
    </row>
    <row r="96" spans="1:3" x14ac:dyDescent="0.2">
      <c r="A96" t="s">
        <v>24</v>
      </c>
      <c r="B96" t="s">
        <v>775</v>
      </c>
      <c r="C96" t="str">
        <f>IF((COUNTIFS(MappingEditor!$F:$F,$A96,MappingEditor!$G:$G,$B96,MappingEditor!$J:$J,"Y")+COUNTIFS(FallbackEditor!$G:$G,$A96,FallbackEditor!$H:$H,$B96,FallbackEditor!$J:$J,"Y"))&gt;0,"mapped","unmapped")</f>
        <v>unmapped</v>
      </c>
    </row>
    <row r="97" spans="1:3" x14ac:dyDescent="0.2">
      <c r="A97" t="s">
        <v>24</v>
      </c>
      <c r="B97" t="s">
        <v>776</v>
      </c>
      <c r="C97" t="str">
        <f>IF((COUNTIFS(MappingEditor!$F:$F,$A97,MappingEditor!$G:$G,$B97,MappingEditor!$J:$J,"Y")+COUNTIFS(FallbackEditor!$G:$G,$A97,FallbackEditor!$H:$H,$B97,FallbackEditor!$J:$J,"Y"))&gt;0,"mapped","unmapped")</f>
        <v>unmapped</v>
      </c>
    </row>
    <row r="98" spans="1:3" x14ac:dyDescent="0.2">
      <c r="A98" t="s">
        <v>24</v>
      </c>
      <c r="B98" t="s">
        <v>777</v>
      </c>
      <c r="C98" t="str">
        <f>IF((COUNTIFS(MappingEditor!$F:$F,$A98,MappingEditor!$G:$G,$B98,MappingEditor!$J:$J,"Y")+COUNTIFS(FallbackEditor!$G:$G,$A98,FallbackEditor!$H:$H,$B98,FallbackEditor!$J:$J,"Y"))&gt;0,"mapped","unmapped")</f>
        <v>unmapped</v>
      </c>
    </row>
    <row r="99" spans="1:3" x14ac:dyDescent="0.2">
      <c r="A99" t="s">
        <v>24</v>
      </c>
      <c r="B99" t="s">
        <v>203</v>
      </c>
      <c r="C99" t="str">
        <f>IF((COUNTIFS(MappingEditor!$F:$F,$A99,MappingEditor!$G:$G,$B99,MappingEditor!$J:$J,"Y")+COUNTIFS(FallbackEditor!$G:$G,$A99,FallbackEditor!$H:$H,$B99,FallbackEditor!$J:$J,"Y"))&gt;0,"mapped","unmapped")</f>
        <v>mapped</v>
      </c>
    </row>
    <row r="100" spans="1:3" x14ac:dyDescent="0.2">
      <c r="A100" t="s">
        <v>24</v>
      </c>
      <c r="B100" t="s">
        <v>778</v>
      </c>
      <c r="C100" t="str">
        <f>IF((COUNTIFS(MappingEditor!$F:$F,$A100,MappingEditor!$G:$G,$B100,MappingEditor!$J:$J,"Y")+COUNTIFS(FallbackEditor!$G:$G,$A100,FallbackEditor!$H:$H,$B100,FallbackEditor!$J:$J,"Y"))&gt;0,"mapped","unmapped")</f>
        <v>unmapped</v>
      </c>
    </row>
    <row r="101" spans="1:3" x14ac:dyDescent="0.2">
      <c r="A101" t="s">
        <v>24</v>
      </c>
      <c r="B101" t="s">
        <v>779</v>
      </c>
      <c r="C101" t="str">
        <f>IF((COUNTIFS(MappingEditor!$F:$F,$A101,MappingEditor!$G:$G,$B101,MappingEditor!$J:$J,"Y")+COUNTIFS(FallbackEditor!$G:$G,$A101,FallbackEditor!$H:$H,$B101,FallbackEditor!$J:$J,"Y"))&gt;0,"mapped","unmapped")</f>
        <v>unmapped</v>
      </c>
    </row>
    <row r="102" spans="1:3" x14ac:dyDescent="0.2">
      <c r="A102" t="s">
        <v>24</v>
      </c>
      <c r="B102" t="s">
        <v>780</v>
      </c>
      <c r="C102" t="str">
        <f>IF((COUNTIFS(MappingEditor!$F:$F,$A102,MappingEditor!$G:$G,$B102,MappingEditor!$J:$J,"Y")+COUNTIFS(FallbackEditor!$G:$G,$A102,FallbackEditor!$H:$H,$B102,FallbackEditor!$J:$J,"Y"))&gt;0,"mapped","unmapped")</f>
        <v>unmapped</v>
      </c>
    </row>
    <row r="103" spans="1:3" x14ac:dyDescent="0.2">
      <c r="A103" t="s">
        <v>24</v>
      </c>
      <c r="B103" t="s">
        <v>781</v>
      </c>
      <c r="C103" t="str">
        <f>IF((COUNTIFS(MappingEditor!$F:$F,$A103,MappingEditor!$G:$G,$B103,MappingEditor!$J:$J,"Y")+COUNTIFS(FallbackEditor!$G:$G,$A103,FallbackEditor!$H:$H,$B103,FallbackEditor!$J:$J,"Y"))&gt;0,"mapped","unmapped")</f>
        <v>unmapped</v>
      </c>
    </row>
    <row r="104" spans="1:3" x14ac:dyDescent="0.2">
      <c r="A104" t="s">
        <v>24</v>
      </c>
      <c r="B104" t="s">
        <v>782</v>
      </c>
      <c r="C104" t="str">
        <f>IF((COUNTIFS(MappingEditor!$F:$F,$A104,MappingEditor!$G:$G,$B104,MappingEditor!$J:$J,"Y")+COUNTIFS(FallbackEditor!$G:$G,$A104,FallbackEditor!$H:$H,$B104,FallbackEditor!$J:$J,"Y"))&gt;0,"mapped","unmapped")</f>
        <v>unmapped</v>
      </c>
    </row>
    <row r="105" spans="1:3" x14ac:dyDescent="0.2">
      <c r="A105" t="s">
        <v>24</v>
      </c>
      <c r="B105" t="s">
        <v>783</v>
      </c>
      <c r="C105" t="str">
        <f>IF((COUNTIFS(MappingEditor!$F:$F,$A105,MappingEditor!$G:$G,$B105,MappingEditor!$J:$J,"Y")+COUNTIFS(FallbackEditor!$G:$G,$A105,FallbackEditor!$H:$H,$B105,FallbackEditor!$J:$J,"Y"))&gt;0,"mapped","unmapped")</f>
        <v>unmapped</v>
      </c>
    </row>
    <row r="106" spans="1:3" x14ac:dyDescent="0.2">
      <c r="A106" t="s">
        <v>24</v>
      </c>
      <c r="B106" t="s">
        <v>784</v>
      </c>
      <c r="C106" t="str">
        <f>IF((COUNTIFS(MappingEditor!$F:$F,$A106,MappingEditor!$G:$G,$B106,MappingEditor!$J:$J,"Y")+COUNTIFS(FallbackEditor!$G:$G,$A106,FallbackEditor!$H:$H,$B106,FallbackEditor!$J:$J,"Y"))&gt;0,"mapped","unmapped")</f>
        <v>unmapped</v>
      </c>
    </row>
    <row r="107" spans="1:3" x14ac:dyDescent="0.2">
      <c r="A107" t="s">
        <v>24</v>
      </c>
      <c r="B107" t="s">
        <v>90</v>
      </c>
      <c r="C107" t="str">
        <f>IF((COUNTIFS(MappingEditor!$F:$F,$A107,MappingEditor!$G:$G,$B107,MappingEditor!$J:$J,"Y")+COUNTIFS(FallbackEditor!$G:$G,$A107,FallbackEditor!$H:$H,$B107,FallbackEditor!$J:$J,"Y"))&gt;0,"mapped","unmapped")</f>
        <v>mapped</v>
      </c>
    </row>
    <row r="108" spans="1:3" x14ac:dyDescent="0.2">
      <c r="A108" t="s">
        <v>24</v>
      </c>
      <c r="B108" t="s">
        <v>785</v>
      </c>
      <c r="C108" t="str">
        <f>IF((COUNTIFS(MappingEditor!$F:$F,$A108,MappingEditor!$G:$G,$B108,MappingEditor!$J:$J,"Y")+COUNTIFS(FallbackEditor!$G:$G,$A108,FallbackEditor!$H:$H,$B108,FallbackEditor!$J:$J,"Y"))&gt;0,"mapped","unmapped")</f>
        <v>unmapped</v>
      </c>
    </row>
    <row r="109" spans="1:3" x14ac:dyDescent="0.2">
      <c r="A109" t="s">
        <v>24</v>
      </c>
      <c r="B109" t="s">
        <v>102</v>
      </c>
      <c r="C109" t="str">
        <f>IF((COUNTIFS(MappingEditor!$F:$F,$A109,MappingEditor!$G:$G,$B109,MappingEditor!$J:$J,"Y")+COUNTIFS(FallbackEditor!$G:$G,$A109,FallbackEditor!$H:$H,$B109,FallbackEditor!$J:$J,"Y"))&gt;0,"mapped","unmapped")</f>
        <v>mapped</v>
      </c>
    </row>
    <row r="110" spans="1:3" x14ac:dyDescent="0.2">
      <c r="A110" t="s">
        <v>24</v>
      </c>
      <c r="B110" t="s">
        <v>66</v>
      </c>
      <c r="C110" t="str">
        <f>IF((COUNTIFS(MappingEditor!$F:$F,$A110,MappingEditor!$G:$G,$B110,MappingEditor!$J:$J,"Y")+COUNTIFS(FallbackEditor!$G:$G,$A110,FallbackEditor!$H:$H,$B110,FallbackEditor!$J:$J,"Y"))&gt;0,"mapped","unmapped")</f>
        <v>mapped</v>
      </c>
    </row>
    <row r="111" spans="1:3" x14ac:dyDescent="0.2">
      <c r="A111" t="s">
        <v>24</v>
      </c>
      <c r="B111" t="s">
        <v>71</v>
      </c>
      <c r="C111" t="str">
        <f>IF((COUNTIFS(MappingEditor!$F:$F,$A111,MappingEditor!$G:$G,$B111,MappingEditor!$J:$J,"Y")+COUNTIFS(FallbackEditor!$G:$G,$A111,FallbackEditor!$H:$H,$B111,FallbackEditor!$J:$J,"Y"))&gt;0,"mapped","unmapped")</f>
        <v>mapped</v>
      </c>
    </row>
    <row r="112" spans="1:3" x14ac:dyDescent="0.2">
      <c r="A112" t="s">
        <v>24</v>
      </c>
      <c r="B112" t="s">
        <v>786</v>
      </c>
      <c r="C112" t="str">
        <f>IF((COUNTIFS(MappingEditor!$F:$F,$A112,MappingEditor!$G:$G,$B112,MappingEditor!$J:$J,"Y")+COUNTIFS(FallbackEditor!$G:$G,$A112,FallbackEditor!$H:$H,$B112,FallbackEditor!$J:$J,"Y"))&gt;0,"mapped","unmapped")</f>
        <v>unmapped</v>
      </c>
    </row>
    <row r="113" spans="1:3" x14ac:dyDescent="0.2">
      <c r="A113" t="s">
        <v>24</v>
      </c>
      <c r="B113" t="s">
        <v>99</v>
      </c>
      <c r="C113" t="str">
        <f>IF((COUNTIFS(MappingEditor!$F:$F,$A113,MappingEditor!$G:$G,$B113,MappingEditor!$J:$J,"Y")+COUNTIFS(FallbackEditor!$G:$G,$A113,FallbackEditor!$H:$H,$B113,FallbackEditor!$J:$J,"Y"))&gt;0,"mapped","unmapped")</f>
        <v>mapped</v>
      </c>
    </row>
    <row r="114" spans="1:3" x14ac:dyDescent="0.2">
      <c r="A114" t="s">
        <v>24</v>
      </c>
      <c r="B114" t="s">
        <v>173</v>
      </c>
      <c r="C114" t="str">
        <f>IF((COUNTIFS(MappingEditor!$F:$F,$A114,MappingEditor!$G:$G,$B114,MappingEditor!$J:$J,"Y")+COUNTIFS(FallbackEditor!$G:$G,$A114,FallbackEditor!$H:$H,$B114,FallbackEditor!$J:$J,"Y"))&gt;0,"mapped","unmapped")</f>
        <v>mapped</v>
      </c>
    </row>
    <row r="115" spans="1:3" x14ac:dyDescent="0.2">
      <c r="A115" t="s">
        <v>24</v>
      </c>
      <c r="B115" t="s">
        <v>159</v>
      </c>
      <c r="C115" t="str">
        <f>IF((COUNTIFS(MappingEditor!$F:$F,$A115,MappingEditor!$G:$G,$B115,MappingEditor!$J:$J,"Y")+COUNTIFS(FallbackEditor!$G:$G,$A115,FallbackEditor!$H:$H,$B115,FallbackEditor!$J:$J,"Y"))&gt;0,"mapped","unmapped")</f>
        <v>mapped</v>
      </c>
    </row>
    <row r="116" spans="1:3" x14ac:dyDescent="0.2">
      <c r="A116" t="s">
        <v>24</v>
      </c>
      <c r="B116" t="s">
        <v>217</v>
      </c>
      <c r="C116" t="str">
        <f>IF((COUNTIFS(MappingEditor!$F:$F,$A116,MappingEditor!$G:$G,$B116,MappingEditor!$J:$J,"Y")+COUNTIFS(FallbackEditor!$G:$G,$A116,FallbackEditor!$H:$H,$B116,FallbackEditor!$J:$J,"Y"))&gt;0,"mapped","unmapped")</f>
        <v>mapped</v>
      </c>
    </row>
    <row r="117" spans="1:3" x14ac:dyDescent="0.2">
      <c r="A117" t="s">
        <v>24</v>
      </c>
      <c r="B117" t="s">
        <v>138</v>
      </c>
      <c r="C117" t="str">
        <f>IF((COUNTIFS(MappingEditor!$F:$F,$A117,MappingEditor!$G:$G,$B117,MappingEditor!$J:$J,"Y")+COUNTIFS(FallbackEditor!$G:$G,$A117,FallbackEditor!$H:$H,$B117,FallbackEditor!$J:$J,"Y"))&gt;0,"mapped","unmapped")</f>
        <v>mapped</v>
      </c>
    </row>
    <row r="118" spans="1:3" x14ac:dyDescent="0.2">
      <c r="A118" t="s">
        <v>24</v>
      </c>
      <c r="B118" t="s">
        <v>787</v>
      </c>
      <c r="C118" t="str">
        <f>IF((COUNTIFS(MappingEditor!$F:$F,$A118,MappingEditor!$G:$G,$B118,MappingEditor!$J:$J,"Y")+COUNTIFS(FallbackEditor!$G:$G,$A118,FallbackEditor!$H:$H,$B118,FallbackEditor!$J:$J,"Y"))&gt;0,"mapped","unmapped")</f>
        <v>unmapped</v>
      </c>
    </row>
    <row r="119" spans="1:3" x14ac:dyDescent="0.2">
      <c r="A119" t="s">
        <v>24</v>
      </c>
      <c r="B119" t="s">
        <v>788</v>
      </c>
      <c r="C119" t="str">
        <f>IF((COUNTIFS(MappingEditor!$F:$F,$A119,MappingEditor!$G:$G,$B119,MappingEditor!$J:$J,"Y")+COUNTIFS(FallbackEditor!$G:$G,$A119,FallbackEditor!$H:$H,$B119,FallbackEditor!$J:$J,"Y"))&gt;0,"mapped","unmapped")</f>
        <v>unmapped</v>
      </c>
    </row>
    <row r="120" spans="1:3" x14ac:dyDescent="0.2">
      <c r="A120" t="s">
        <v>24</v>
      </c>
      <c r="B120" t="s">
        <v>194</v>
      </c>
      <c r="C120" t="str">
        <f>IF((COUNTIFS(MappingEditor!$F:$F,$A120,MappingEditor!$G:$G,$B120,MappingEditor!$J:$J,"Y")+COUNTIFS(FallbackEditor!$G:$G,$A120,FallbackEditor!$H:$H,$B120,FallbackEditor!$J:$J,"Y"))&gt;0,"mapped","unmapped")</f>
        <v>mapped</v>
      </c>
    </row>
    <row r="121" spans="1:3" x14ac:dyDescent="0.2">
      <c r="A121" t="s">
        <v>24</v>
      </c>
      <c r="B121" t="s">
        <v>176</v>
      </c>
      <c r="C121" t="str">
        <f>IF((COUNTIFS(MappingEditor!$F:$F,$A121,MappingEditor!$G:$G,$B121,MappingEditor!$J:$J,"Y")+COUNTIFS(FallbackEditor!$G:$G,$A121,FallbackEditor!$H:$H,$B121,FallbackEditor!$J:$J,"Y"))&gt;0,"mapped","unmapped")</f>
        <v>mapped</v>
      </c>
    </row>
    <row r="122" spans="1:3" x14ac:dyDescent="0.2">
      <c r="A122" t="s">
        <v>143</v>
      </c>
      <c r="B122" t="s">
        <v>721</v>
      </c>
      <c r="C122" t="str">
        <f>IF((COUNTIFS(MappingEditor!$F:$F,$A122,MappingEditor!$G:$G,$B122,MappingEditor!$J:$J,"Y")+COUNTIFS(FallbackEditor!$G:$G,$A122,FallbackEditor!$H:$H,$B122,FallbackEditor!$J:$J,"Y"))&gt;0,"mapped","unmapped")</f>
        <v>unmapped</v>
      </c>
    </row>
    <row r="123" spans="1:3" x14ac:dyDescent="0.2">
      <c r="A123" t="s">
        <v>143</v>
      </c>
      <c r="B123" t="s">
        <v>150</v>
      </c>
      <c r="C123" t="str">
        <f>IF((COUNTIFS(MappingEditor!$F:$F,$A123,MappingEditor!$G:$G,$B123,MappingEditor!$J:$J,"Y")+COUNTIFS(FallbackEditor!$G:$G,$A123,FallbackEditor!$H:$H,$B123,FallbackEditor!$J:$J,"Y"))&gt;0,"mapped","unmapped")</f>
        <v>mapped</v>
      </c>
    </row>
    <row r="124" spans="1:3" x14ac:dyDescent="0.2">
      <c r="A124" t="s">
        <v>143</v>
      </c>
      <c r="B124" t="s">
        <v>789</v>
      </c>
      <c r="C124" t="str">
        <f>IF((COUNTIFS(MappingEditor!$F:$F,$A124,MappingEditor!$G:$G,$B124,MappingEditor!$J:$J,"Y")+COUNTIFS(FallbackEditor!$G:$G,$A124,FallbackEditor!$H:$H,$B124,FallbackEditor!$J:$J,"Y"))&gt;0,"mapped","unmapped")</f>
        <v>unmapped</v>
      </c>
    </row>
    <row r="125" spans="1:3" x14ac:dyDescent="0.2">
      <c r="A125" t="s">
        <v>143</v>
      </c>
      <c r="B125" t="s">
        <v>144</v>
      </c>
      <c r="C125" t="str">
        <f>IF((COUNTIFS(MappingEditor!$F:$F,$A125,MappingEditor!$G:$G,$B125,MappingEditor!$J:$J,"Y")+COUNTIFS(FallbackEditor!$G:$G,$A125,FallbackEditor!$H:$H,$B125,FallbackEditor!$J:$J,"Y"))&gt;0,"mapped","unmapped")</f>
        <v>mapped</v>
      </c>
    </row>
    <row r="126" spans="1:3" x14ac:dyDescent="0.2">
      <c r="A126" t="s">
        <v>143</v>
      </c>
      <c r="B126" t="s">
        <v>790</v>
      </c>
      <c r="C126" t="str">
        <f>IF((COUNTIFS(MappingEditor!$F:$F,$A126,MappingEditor!$G:$G,$B126,MappingEditor!$J:$J,"Y")+COUNTIFS(FallbackEditor!$G:$G,$A126,FallbackEditor!$H:$H,$B126,FallbackEditor!$J:$J,"Y"))&gt;0,"mapped","unmapped")</f>
        <v>unmapped</v>
      </c>
    </row>
    <row r="127" spans="1:3" x14ac:dyDescent="0.2">
      <c r="A127" t="s">
        <v>143</v>
      </c>
      <c r="B127" t="s">
        <v>147</v>
      </c>
      <c r="C127" t="str">
        <f>IF((COUNTIFS(MappingEditor!$F:$F,$A127,MappingEditor!$G:$G,$B127,MappingEditor!$J:$J,"Y")+COUNTIFS(FallbackEditor!$G:$G,$A127,FallbackEditor!$H:$H,$B127,FallbackEditor!$J:$J,"Y"))&gt;0,"mapped","unmapped")</f>
        <v>mapped</v>
      </c>
    </row>
    <row r="128" spans="1:3" x14ac:dyDescent="0.2">
      <c r="A128" t="s">
        <v>143</v>
      </c>
      <c r="B128" t="s">
        <v>725</v>
      </c>
      <c r="C128" t="str">
        <f>IF((COUNTIFS(MappingEditor!$F:$F,$A128,MappingEditor!$G:$G,$B128,MappingEditor!$J:$J,"Y")+COUNTIFS(FallbackEditor!$G:$G,$A128,FallbackEditor!$H:$H,$B128,FallbackEditor!$J:$J,"Y"))&gt;0,"mapped","unmapped")</f>
        <v>unmapped</v>
      </c>
    </row>
    <row r="129" spans="1:3" x14ac:dyDescent="0.2">
      <c r="A129" t="s">
        <v>143</v>
      </c>
      <c r="B129" t="s">
        <v>726</v>
      </c>
      <c r="C129" t="str">
        <f>IF((COUNTIFS(MappingEditor!$F:$F,$A129,MappingEditor!$G:$G,$B129,MappingEditor!$J:$J,"Y")+COUNTIFS(FallbackEditor!$G:$G,$A129,FallbackEditor!$H:$H,$B129,FallbackEditor!$J:$J,"Y"))&gt;0,"mapped","unmapped")</f>
        <v>unmapped</v>
      </c>
    </row>
    <row r="130" spans="1:3" x14ac:dyDescent="0.2">
      <c r="A130" t="s">
        <v>143</v>
      </c>
      <c r="B130" t="s">
        <v>729</v>
      </c>
      <c r="C130" t="str">
        <f>IF((COUNTIFS(MappingEditor!$F:$F,$A130,MappingEditor!$G:$G,$B130,MappingEditor!$J:$J,"Y")+COUNTIFS(FallbackEditor!$G:$G,$A130,FallbackEditor!$H:$H,$B130,FallbackEditor!$J:$J,"Y"))&gt;0,"mapped","unmapped")</f>
        <v>unmapped</v>
      </c>
    </row>
    <row r="131" spans="1:3" x14ac:dyDescent="0.2">
      <c r="A131" t="s">
        <v>143</v>
      </c>
      <c r="B131" t="s">
        <v>791</v>
      </c>
      <c r="C131" t="str">
        <f>IF((COUNTIFS(MappingEditor!$F:$F,$A131,MappingEditor!$G:$G,$B131,MappingEditor!$J:$J,"Y")+COUNTIFS(FallbackEditor!$G:$G,$A131,FallbackEditor!$H:$H,$B131,FallbackEditor!$J:$J,"Y"))&gt;0,"mapped","unmapped")</f>
        <v>unmapped</v>
      </c>
    </row>
    <row r="132" spans="1:3" x14ac:dyDescent="0.2">
      <c r="A132" t="s">
        <v>143</v>
      </c>
      <c r="B132" t="s">
        <v>730</v>
      </c>
      <c r="C132" t="str">
        <f>IF((COUNTIFS(MappingEditor!$F:$F,$A132,MappingEditor!$G:$G,$B132,MappingEditor!$J:$J,"Y")+COUNTIFS(FallbackEditor!$G:$G,$A132,FallbackEditor!$H:$H,$B132,FallbackEditor!$J:$J,"Y"))&gt;0,"mapped","unmapped")</f>
        <v>unmapped</v>
      </c>
    </row>
    <row r="133" spans="1:3" x14ac:dyDescent="0.2">
      <c r="A133" t="s">
        <v>143</v>
      </c>
      <c r="B133" t="s">
        <v>148</v>
      </c>
      <c r="C133" t="str">
        <f>IF((COUNTIFS(MappingEditor!$F:$F,$A133,MappingEditor!$G:$G,$B133,MappingEditor!$J:$J,"Y")+COUNTIFS(FallbackEditor!$G:$G,$A133,FallbackEditor!$H:$H,$B133,FallbackEditor!$J:$J,"Y"))&gt;0,"mapped","unmapped")</f>
        <v>mapped</v>
      </c>
    </row>
    <row r="134" spans="1:3" x14ac:dyDescent="0.2">
      <c r="A134" t="s">
        <v>61</v>
      </c>
      <c r="B134" t="s">
        <v>721</v>
      </c>
      <c r="C134" t="str">
        <f>IF((COUNTIFS(MappingEditor!$F:$F,$A134,MappingEditor!$G:$G,$B134,MappingEditor!$J:$J,"Y")+COUNTIFS(FallbackEditor!$G:$G,$A134,FallbackEditor!$H:$H,$B134,FallbackEditor!$J:$J,"Y"))&gt;0,"mapped","unmapped")</f>
        <v>unmapped</v>
      </c>
    </row>
    <row r="135" spans="1:3" x14ac:dyDescent="0.2">
      <c r="A135" t="s">
        <v>61</v>
      </c>
      <c r="B135" t="s">
        <v>152</v>
      </c>
      <c r="C135" t="str">
        <f>IF((COUNTIFS(MappingEditor!$F:$F,$A135,MappingEditor!$G:$G,$B135,MappingEditor!$J:$J,"Y")+COUNTIFS(FallbackEditor!$G:$G,$A135,FallbackEditor!$H:$H,$B135,FallbackEditor!$J:$J,"Y"))&gt;0,"mapped","unmapped")</f>
        <v>unmapped</v>
      </c>
    </row>
    <row r="136" spans="1:3" x14ac:dyDescent="0.2">
      <c r="A136" t="s">
        <v>61</v>
      </c>
      <c r="B136" t="s">
        <v>725</v>
      </c>
      <c r="C136" t="str">
        <f>IF((COUNTIFS(MappingEditor!$F:$F,$A136,MappingEditor!$G:$G,$B136,MappingEditor!$J:$J,"Y")+COUNTIFS(FallbackEditor!$G:$G,$A136,FallbackEditor!$H:$H,$B136,FallbackEditor!$J:$J,"Y"))&gt;0,"mapped","unmapped")</f>
        <v>unmapped</v>
      </c>
    </row>
    <row r="137" spans="1:3" x14ac:dyDescent="0.2">
      <c r="A137" t="s">
        <v>61</v>
      </c>
      <c r="B137" t="s">
        <v>726</v>
      </c>
      <c r="C137" t="str">
        <f>IF((COUNTIFS(MappingEditor!$F:$F,$A137,MappingEditor!$G:$G,$B137,MappingEditor!$J:$J,"Y")+COUNTIFS(FallbackEditor!$G:$G,$A137,FallbackEditor!$H:$H,$B137,FallbackEditor!$J:$J,"Y"))&gt;0,"mapped","unmapped")</f>
        <v>unmapped</v>
      </c>
    </row>
    <row r="138" spans="1:3" x14ac:dyDescent="0.2">
      <c r="A138" t="s">
        <v>61</v>
      </c>
      <c r="B138" t="s">
        <v>156</v>
      </c>
      <c r="C138" t="str">
        <f>IF((COUNTIFS(MappingEditor!$F:$F,$A138,MappingEditor!$G:$G,$B138,MappingEditor!$J:$J,"Y")+COUNTIFS(FallbackEditor!$G:$G,$A138,FallbackEditor!$H:$H,$B138,FallbackEditor!$J:$J,"Y"))&gt;0,"mapped","unmapped")</f>
        <v>unmapped</v>
      </c>
    </row>
    <row r="139" spans="1:3" x14ac:dyDescent="0.2">
      <c r="A139" t="s">
        <v>61</v>
      </c>
      <c r="B139" t="s">
        <v>171</v>
      </c>
      <c r="C139" t="str">
        <f>IF((COUNTIFS(MappingEditor!$F:$F,$A139,MappingEditor!$G:$G,$B139,MappingEditor!$J:$J,"Y")+COUNTIFS(FallbackEditor!$G:$G,$A139,FallbackEditor!$H:$H,$B139,FallbackEditor!$J:$J,"Y"))&gt;0,"mapped","unmapped")</f>
        <v>unmapped</v>
      </c>
    </row>
    <row r="140" spans="1:3" x14ac:dyDescent="0.2">
      <c r="A140" t="s">
        <v>61</v>
      </c>
      <c r="B140" t="s">
        <v>329</v>
      </c>
      <c r="C140" t="str">
        <f>IF((COUNTIFS(MappingEditor!$F:$F,$A140,MappingEditor!$G:$G,$B140,MappingEditor!$J:$J,"Y")+COUNTIFS(FallbackEditor!$G:$G,$A140,FallbackEditor!$H:$H,$B140,FallbackEditor!$J:$J,"Y"))&gt;0,"mapped","unmapped")</f>
        <v>mapped</v>
      </c>
    </row>
    <row r="141" spans="1:3" x14ac:dyDescent="0.2">
      <c r="A141" t="s">
        <v>61</v>
      </c>
      <c r="B141" t="s">
        <v>792</v>
      </c>
      <c r="C141" t="str">
        <f>IF((COUNTIFS(MappingEditor!$F:$F,$A141,MappingEditor!$G:$G,$B141,MappingEditor!$J:$J,"Y")+COUNTIFS(FallbackEditor!$G:$G,$A141,FallbackEditor!$H:$H,$B141,FallbackEditor!$J:$J,"Y"))&gt;0,"mapped","unmapped")</f>
        <v>unmapped</v>
      </c>
    </row>
    <row r="142" spans="1:3" x14ac:dyDescent="0.2">
      <c r="A142" t="s">
        <v>61</v>
      </c>
      <c r="B142" t="s">
        <v>729</v>
      </c>
      <c r="C142" t="str">
        <f>IF((COUNTIFS(MappingEditor!$F:$F,$A142,MappingEditor!$G:$G,$B142,MappingEditor!$J:$J,"Y")+COUNTIFS(FallbackEditor!$G:$G,$A142,FallbackEditor!$H:$H,$B142,FallbackEditor!$J:$J,"Y"))&gt;0,"mapped","unmapped")</f>
        <v>unmapped</v>
      </c>
    </row>
    <row r="143" spans="1:3" x14ac:dyDescent="0.2">
      <c r="A143" t="s">
        <v>61</v>
      </c>
      <c r="B143" t="s">
        <v>167</v>
      </c>
      <c r="C143" t="str">
        <f>IF((COUNTIFS(MappingEditor!$F:$F,$A143,MappingEditor!$G:$G,$B143,MappingEditor!$J:$J,"Y")+COUNTIFS(FallbackEditor!$G:$G,$A143,FallbackEditor!$H:$H,$B143,FallbackEditor!$J:$J,"Y"))&gt;0,"mapped","unmapped")</f>
        <v>unmapped</v>
      </c>
    </row>
    <row r="144" spans="1:3" x14ac:dyDescent="0.2">
      <c r="A144" t="s">
        <v>61</v>
      </c>
      <c r="B144" t="s">
        <v>67</v>
      </c>
      <c r="C144" t="str">
        <f>IF((COUNTIFS(MappingEditor!$F:$F,$A144,MappingEditor!$G:$G,$B144,MappingEditor!$J:$J,"Y")+COUNTIFS(FallbackEditor!$G:$G,$A144,FallbackEditor!$H:$H,$B144,FallbackEditor!$J:$J,"Y"))&gt;0,"mapped","unmapped")</f>
        <v>unmapped</v>
      </c>
    </row>
    <row r="145" spans="1:3" x14ac:dyDescent="0.2">
      <c r="A145" t="s">
        <v>61</v>
      </c>
      <c r="B145" t="s">
        <v>316</v>
      </c>
      <c r="C145" t="str">
        <f>IF((COUNTIFS(MappingEditor!$F:$F,$A145,MappingEditor!$G:$G,$B145,MappingEditor!$J:$J,"Y")+COUNTIFS(FallbackEditor!$G:$G,$A145,FallbackEditor!$H:$H,$B145,FallbackEditor!$J:$J,"Y"))&gt;0,"mapped","unmapped")</f>
        <v>mapped</v>
      </c>
    </row>
    <row r="146" spans="1:3" x14ac:dyDescent="0.2">
      <c r="A146" t="s">
        <v>61</v>
      </c>
      <c r="B146" t="s">
        <v>331</v>
      </c>
      <c r="C146" t="str">
        <f>IF((COUNTIFS(MappingEditor!$F:$F,$A146,MappingEditor!$G:$G,$B146,MappingEditor!$J:$J,"Y")+COUNTIFS(FallbackEditor!$G:$G,$A146,FallbackEditor!$H:$H,$B146,FallbackEditor!$J:$J,"Y"))&gt;0,"mapped","unmapped")</f>
        <v>mapped</v>
      </c>
    </row>
    <row r="147" spans="1:3" x14ac:dyDescent="0.2">
      <c r="A147" t="s">
        <v>61</v>
      </c>
      <c r="B147" t="s">
        <v>88</v>
      </c>
      <c r="C147" t="str">
        <f>IF((COUNTIFS(MappingEditor!$F:$F,$A147,MappingEditor!$G:$G,$B147,MappingEditor!$J:$J,"Y")+COUNTIFS(FallbackEditor!$G:$G,$A147,FallbackEditor!$H:$H,$B147,FallbackEditor!$J:$J,"Y"))&gt;0,"mapped","unmapped")</f>
        <v>mapped</v>
      </c>
    </row>
    <row r="148" spans="1:3" x14ac:dyDescent="0.2">
      <c r="A148" t="s">
        <v>61</v>
      </c>
      <c r="B148" t="s">
        <v>766</v>
      </c>
      <c r="C148" t="str">
        <f>IF((COUNTIFS(MappingEditor!$F:$F,$A148,MappingEditor!$G:$G,$B148,MappingEditor!$J:$J,"Y")+COUNTIFS(FallbackEditor!$G:$G,$A148,FallbackEditor!$H:$H,$B148,FallbackEditor!$J:$J,"Y"))&gt;0,"mapped","unmapped")</f>
        <v>unmapped</v>
      </c>
    </row>
    <row r="149" spans="1:3" x14ac:dyDescent="0.2">
      <c r="A149" t="s">
        <v>61</v>
      </c>
      <c r="B149" t="s">
        <v>101</v>
      </c>
      <c r="C149" t="str">
        <f>IF((COUNTIFS(MappingEditor!$F:$F,$A149,MappingEditor!$G:$G,$B149,MappingEditor!$J:$J,"Y")+COUNTIFS(FallbackEditor!$G:$G,$A149,FallbackEditor!$H:$H,$B149,FallbackEditor!$J:$J,"Y"))&gt;0,"mapped","unmapped")</f>
        <v>unmapped</v>
      </c>
    </row>
    <row r="150" spans="1:3" x14ac:dyDescent="0.2">
      <c r="A150" t="s">
        <v>61</v>
      </c>
      <c r="B150" t="s">
        <v>767</v>
      </c>
      <c r="C150" t="str">
        <f>IF((COUNTIFS(MappingEditor!$F:$F,$A150,MappingEditor!$G:$G,$B150,MappingEditor!$J:$J,"Y")+COUNTIFS(FallbackEditor!$G:$G,$A150,FallbackEditor!$H:$H,$B150,FallbackEditor!$J:$J,"Y"))&gt;0,"mapped","unmapped")</f>
        <v>unmapped</v>
      </c>
    </row>
    <row r="151" spans="1:3" x14ac:dyDescent="0.2">
      <c r="A151" t="s">
        <v>61</v>
      </c>
      <c r="B151" t="s">
        <v>768</v>
      </c>
      <c r="C151" t="str">
        <f>IF((COUNTIFS(MappingEditor!$F:$F,$A151,MappingEditor!$G:$G,$B151,MappingEditor!$J:$J,"Y")+COUNTIFS(FallbackEditor!$G:$G,$A151,FallbackEditor!$H:$H,$B151,FallbackEditor!$J:$J,"Y"))&gt;0,"mapped","unmapped")</f>
        <v>unmapped</v>
      </c>
    </row>
    <row r="152" spans="1:3" x14ac:dyDescent="0.2">
      <c r="A152" t="s">
        <v>61</v>
      </c>
      <c r="B152" t="s">
        <v>62</v>
      </c>
      <c r="C152" t="str">
        <f>IF((COUNTIFS(MappingEditor!$F:$F,$A152,MappingEditor!$G:$G,$B152,MappingEditor!$J:$J,"Y")+COUNTIFS(FallbackEditor!$G:$G,$A152,FallbackEditor!$H:$H,$B152,FallbackEditor!$J:$J,"Y"))&gt;0,"mapped","unmapped")</f>
        <v>mapped</v>
      </c>
    </row>
    <row r="153" spans="1:3" x14ac:dyDescent="0.2">
      <c r="A153" t="s">
        <v>61</v>
      </c>
      <c r="B153" t="s">
        <v>97</v>
      </c>
      <c r="C153" t="str">
        <f>IF((COUNTIFS(MappingEditor!$F:$F,$A153,MappingEditor!$G:$G,$B153,MappingEditor!$J:$J,"Y")+COUNTIFS(FallbackEditor!$G:$G,$A153,FallbackEditor!$H:$H,$B153,FallbackEditor!$J:$J,"Y"))&gt;0,"mapped","unmapped")</f>
        <v>unmapped</v>
      </c>
    </row>
    <row r="154" spans="1:3" x14ac:dyDescent="0.2">
      <c r="A154" t="s">
        <v>61</v>
      </c>
      <c r="B154" t="s">
        <v>730</v>
      </c>
      <c r="C154" t="str">
        <f>IF((COUNTIFS(MappingEditor!$F:$F,$A154,MappingEditor!$G:$G,$B154,MappingEditor!$J:$J,"Y")+COUNTIFS(FallbackEditor!$G:$G,$A154,FallbackEditor!$H:$H,$B154,FallbackEditor!$J:$J,"Y"))&gt;0,"mapped","unmapped")</f>
        <v>unmapped</v>
      </c>
    </row>
    <row r="155" spans="1:3" x14ac:dyDescent="0.2">
      <c r="A155" t="s">
        <v>61</v>
      </c>
      <c r="B155" t="s">
        <v>183</v>
      </c>
      <c r="C155" t="str">
        <f>IF((COUNTIFS(MappingEditor!$F:$F,$A155,MappingEditor!$G:$G,$B155,MappingEditor!$J:$J,"Y")+COUNTIFS(FallbackEditor!$G:$G,$A155,FallbackEditor!$H:$H,$B155,FallbackEditor!$J:$J,"Y"))&gt;0,"mapped","unmapped")</f>
        <v>unmapped</v>
      </c>
    </row>
    <row r="156" spans="1:3" x14ac:dyDescent="0.2">
      <c r="A156" t="s">
        <v>61</v>
      </c>
      <c r="B156" t="s">
        <v>90</v>
      </c>
      <c r="C156" t="str">
        <f>IF((COUNTIFS(MappingEditor!$F:$F,$A156,MappingEditor!$G:$G,$B156,MappingEditor!$J:$J,"Y")+COUNTIFS(FallbackEditor!$G:$G,$A156,FallbackEditor!$H:$H,$B156,FallbackEditor!$J:$J,"Y"))&gt;0,"mapped","unmapped")</f>
        <v>mapped</v>
      </c>
    </row>
    <row r="157" spans="1:3" x14ac:dyDescent="0.2">
      <c r="A157" t="s">
        <v>61</v>
      </c>
      <c r="B157" t="s">
        <v>785</v>
      </c>
      <c r="C157" t="str">
        <f>IF((COUNTIFS(MappingEditor!$F:$F,$A157,MappingEditor!$G:$G,$B157,MappingEditor!$J:$J,"Y")+COUNTIFS(FallbackEditor!$G:$G,$A157,FallbackEditor!$H:$H,$B157,FallbackEditor!$J:$J,"Y"))&gt;0,"mapped","unmapped")</f>
        <v>unmapped</v>
      </c>
    </row>
    <row r="158" spans="1:3" x14ac:dyDescent="0.2">
      <c r="A158" t="s">
        <v>61</v>
      </c>
      <c r="B158" t="s">
        <v>102</v>
      </c>
      <c r="C158" t="str">
        <f>IF((COUNTIFS(MappingEditor!$F:$F,$A158,MappingEditor!$G:$G,$B158,MappingEditor!$J:$J,"Y")+COUNTIFS(FallbackEditor!$G:$G,$A158,FallbackEditor!$H:$H,$B158,FallbackEditor!$J:$J,"Y"))&gt;0,"mapped","unmapped")</f>
        <v>mapped</v>
      </c>
    </row>
    <row r="159" spans="1:3" x14ac:dyDescent="0.2">
      <c r="A159" t="s">
        <v>61</v>
      </c>
      <c r="B159" t="s">
        <v>73</v>
      </c>
      <c r="C159" t="str">
        <f>IF((COUNTIFS(MappingEditor!$F:$F,$A159,MappingEditor!$G:$G,$B159,MappingEditor!$J:$J,"Y")+COUNTIFS(FallbackEditor!$G:$G,$A159,FallbackEditor!$H:$H,$B159,FallbackEditor!$J:$J,"Y"))&gt;0,"mapped","unmapped")</f>
        <v>mapped</v>
      </c>
    </row>
    <row r="160" spans="1:3" x14ac:dyDescent="0.2">
      <c r="A160" t="s">
        <v>61</v>
      </c>
      <c r="B160" t="s">
        <v>99</v>
      </c>
      <c r="C160" t="str">
        <f>IF((COUNTIFS(MappingEditor!$F:$F,$A160,MappingEditor!$G:$G,$B160,MappingEditor!$J:$J,"Y")+COUNTIFS(FallbackEditor!$G:$G,$A160,FallbackEditor!$H:$H,$B160,FallbackEditor!$J:$J,"Y"))&gt;0,"mapped","unmapped")</f>
        <v>mapped</v>
      </c>
    </row>
    <row r="161" spans="1:3" x14ac:dyDescent="0.2">
      <c r="A161" t="s">
        <v>61</v>
      </c>
      <c r="B161" t="s">
        <v>173</v>
      </c>
      <c r="C161" t="str">
        <f>IF((COUNTIFS(MappingEditor!$F:$F,$A161,MappingEditor!$G:$G,$B161,MappingEditor!$J:$J,"Y")+COUNTIFS(FallbackEditor!$G:$G,$A161,FallbackEditor!$H:$H,$B161,FallbackEditor!$J:$J,"Y"))&gt;0,"mapped","unmapped")</f>
        <v>mapped</v>
      </c>
    </row>
    <row r="162" spans="1:3" x14ac:dyDescent="0.2">
      <c r="A162" t="s">
        <v>61</v>
      </c>
      <c r="B162" t="s">
        <v>159</v>
      </c>
      <c r="C162" t="str">
        <f>IF((COUNTIFS(MappingEditor!$F:$F,$A162,MappingEditor!$G:$G,$B162,MappingEditor!$J:$J,"Y")+COUNTIFS(FallbackEditor!$G:$G,$A162,FallbackEditor!$H:$H,$B162,FallbackEditor!$J:$J,"Y"))&gt;0,"mapped","unmapped")</f>
        <v>unmapped</v>
      </c>
    </row>
    <row r="163" spans="1:3" x14ac:dyDescent="0.2">
      <c r="A163" t="s">
        <v>61</v>
      </c>
      <c r="B163" t="s">
        <v>787</v>
      </c>
      <c r="C163" t="str">
        <f>IF((COUNTIFS(MappingEditor!$F:$F,$A163,MappingEditor!$G:$G,$B163,MappingEditor!$J:$J,"Y")+COUNTIFS(FallbackEditor!$G:$G,$A163,FallbackEditor!$H:$H,$B163,FallbackEditor!$J:$J,"Y"))&gt;0,"mapped","unmapped")</f>
        <v>unmapped</v>
      </c>
    </row>
    <row r="164" spans="1:3" x14ac:dyDescent="0.2">
      <c r="A164" t="s">
        <v>61</v>
      </c>
      <c r="B164" t="s">
        <v>788</v>
      </c>
      <c r="C164" t="str">
        <f>IF((COUNTIFS(MappingEditor!$F:$F,$A164,MappingEditor!$G:$G,$B164,MappingEditor!$J:$J,"Y")+COUNTIFS(FallbackEditor!$G:$G,$A164,FallbackEditor!$H:$H,$B164,FallbackEditor!$J:$J,"Y"))&gt;0,"mapped","unmapped")</f>
        <v>unmapped</v>
      </c>
    </row>
    <row r="165" spans="1:3" x14ac:dyDescent="0.2">
      <c r="A165" t="s">
        <v>61</v>
      </c>
      <c r="B165" t="s">
        <v>793</v>
      </c>
      <c r="C165" t="str">
        <f>IF((COUNTIFS(MappingEditor!$F:$F,$A165,MappingEditor!$G:$G,$B165,MappingEditor!$J:$J,"Y")+COUNTIFS(FallbackEditor!$G:$G,$A165,FallbackEditor!$H:$H,$B165,FallbackEditor!$J:$J,"Y"))&gt;0,"mapped","unmapped")</f>
        <v>unmapped</v>
      </c>
    </row>
    <row r="166" spans="1:3" x14ac:dyDescent="0.2">
      <c r="A166" t="s">
        <v>61</v>
      </c>
      <c r="B166" t="s">
        <v>176</v>
      </c>
      <c r="C166" t="str">
        <f>IF((COUNTIFS(MappingEditor!$F:$F,$A166,MappingEditor!$G:$G,$B166,MappingEditor!$J:$J,"Y")+COUNTIFS(FallbackEditor!$G:$G,$A166,FallbackEditor!$H:$H,$B166,FallbackEditor!$J:$J,"Y"))&gt;0,"mapped","unmapped")</f>
        <v>unmapped</v>
      </c>
    </row>
    <row r="167" spans="1:3" x14ac:dyDescent="0.2">
      <c r="A167" t="s">
        <v>19</v>
      </c>
      <c r="B167" t="s">
        <v>794</v>
      </c>
      <c r="C167" t="str">
        <f>IF((COUNTIFS(MappingEditor!$F:$F,$A167,MappingEditor!$G:$G,$B167,MappingEditor!$J:$J,"Y")+COUNTIFS(FallbackEditor!$G:$G,$A167,FallbackEditor!$H:$H,$B167,FallbackEditor!$J:$J,"Y"))&gt;0,"mapped","unmapped")</f>
        <v>unmapped</v>
      </c>
    </row>
    <row r="168" spans="1:3" x14ac:dyDescent="0.2">
      <c r="A168" t="s">
        <v>19</v>
      </c>
      <c r="B168" t="s">
        <v>108</v>
      </c>
      <c r="C168" t="str">
        <f>IF((COUNTIFS(MappingEditor!$F:$F,$A168,MappingEditor!$G:$G,$B168,MappingEditor!$J:$J,"Y")+COUNTIFS(FallbackEditor!$G:$G,$A168,FallbackEditor!$H:$H,$B168,FallbackEditor!$J:$J,"Y"))&gt;0,"mapped","unmapped")</f>
        <v>mapped</v>
      </c>
    </row>
    <row r="169" spans="1:3" x14ac:dyDescent="0.2">
      <c r="A169" t="s">
        <v>19</v>
      </c>
      <c r="B169" t="s">
        <v>795</v>
      </c>
      <c r="C169" t="str">
        <f>IF((COUNTIFS(MappingEditor!$F:$F,$A169,MappingEditor!$G:$G,$B169,MappingEditor!$J:$J,"Y")+COUNTIFS(FallbackEditor!$G:$G,$A169,FallbackEditor!$H:$H,$B169,FallbackEditor!$J:$J,"Y"))&gt;0,"mapped","unmapped")</f>
        <v>unmapped</v>
      </c>
    </row>
    <row r="170" spans="1:3" x14ac:dyDescent="0.2">
      <c r="A170" t="s">
        <v>19</v>
      </c>
      <c r="B170" t="s">
        <v>796</v>
      </c>
      <c r="C170" t="str">
        <f>IF((COUNTIFS(MappingEditor!$F:$F,$A170,MappingEditor!$G:$G,$B170,MappingEditor!$J:$J,"Y")+COUNTIFS(FallbackEditor!$G:$G,$A170,FallbackEditor!$H:$H,$B170,FallbackEditor!$J:$J,"Y"))&gt;0,"mapped","unmapped")</f>
        <v>unmapped</v>
      </c>
    </row>
    <row r="171" spans="1:3" x14ac:dyDescent="0.2">
      <c r="A171" t="s">
        <v>19</v>
      </c>
      <c r="B171" t="s">
        <v>797</v>
      </c>
      <c r="C171" t="str">
        <f>IF((COUNTIFS(MappingEditor!$F:$F,$A171,MappingEditor!$G:$G,$B171,MappingEditor!$J:$J,"Y")+COUNTIFS(FallbackEditor!$G:$G,$A171,FallbackEditor!$H:$H,$B171,FallbackEditor!$J:$J,"Y"))&gt;0,"mapped","unmapped")</f>
        <v>unmapped</v>
      </c>
    </row>
    <row r="172" spans="1:3" x14ac:dyDescent="0.2">
      <c r="A172" t="s">
        <v>19</v>
      </c>
      <c r="B172" t="s">
        <v>798</v>
      </c>
      <c r="C172" t="str">
        <f>IF((COUNTIFS(MappingEditor!$F:$F,$A172,MappingEditor!$G:$G,$B172,MappingEditor!$J:$J,"Y")+COUNTIFS(FallbackEditor!$G:$G,$A172,FallbackEditor!$H:$H,$B172,FallbackEditor!$J:$J,"Y"))&gt;0,"mapped","unmapped")</f>
        <v>unmapped</v>
      </c>
    </row>
    <row r="173" spans="1:3" x14ac:dyDescent="0.2">
      <c r="A173" t="s">
        <v>19</v>
      </c>
      <c r="B173" t="s">
        <v>799</v>
      </c>
      <c r="C173" t="str">
        <f>IF((COUNTIFS(MappingEditor!$F:$F,$A173,MappingEditor!$G:$G,$B173,MappingEditor!$J:$J,"Y")+COUNTIFS(FallbackEditor!$G:$G,$A173,FallbackEditor!$H:$H,$B173,FallbackEditor!$J:$J,"Y"))&gt;0,"mapped","unmapped")</f>
        <v>unmapped</v>
      </c>
    </row>
    <row r="174" spans="1:3" x14ac:dyDescent="0.2">
      <c r="A174" t="s">
        <v>19</v>
      </c>
      <c r="B174" t="s">
        <v>35</v>
      </c>
      <c r="C174" t="str">
        <f>IF((COUNTIFS(MappingEditor!$F:$F,$A174,MappingEditor!$G:$G,$B174,MappingEditor!$J:$J,"Y")+COUNTIFS(FallbackEditor!$G:$G,$A174,FallbackEditor!$H:$H,$B174,FallbackEditor!$J:$J,"Y"))&gt;0,"mapped","unmapped")</f>
        <v>mapped</v>
      </c>
    </row>
    <row r="175" spans="1:3" x14ac:dyDescent="0.2">
      <c r="A175" t="s">
        <v>19</v>
      </c>
      <c r="B175" t="s">
        <v>800</v>
      </c>
      <c r="C175" t="str">
        <f>IF((COUNTIFS(MappingEditor!$F:$F,$A175,MappingEditor!$G:$G,$B175,MappingEditor!$J:$J,"Y")+COUNTIFS(FallbackEditor!$G:$G,$A175,FallbackEditor!$H:$H,$B175,FallbackEditor!$J:$J,"Y"))&gt;0,"mapped","unmapped")</f>
        <v>unmapped</v>
      </c>
    </row>
    <row r="176" spans="1:3" x14ac:dyDescent="0.2">
      <c r="A176" t="s">
        <v>19</v>
      </c>
      <c r="B176" t="s">
        <v>137</v>
      </c>
      <c r="C176" t="str">
        <f>IF((COUNTIFS(MappingEditor!$F:$F,$A176,MappingEditor!$G:$G,$B176,MappingEditor!$J:$J,"Y")+COUNTIFS(FallbackEditor!$G:$G,$A176,FallbackEditor!$H:$H,$B176,FallbackEditor!$J:$J,"Y"))&gt;0,"mapped","unmapped")</f>
        <v>mapped</v>
      </c>
    </row>
    <row r="177" spans="1:3" x14ac:dyDescent="0.2">
      <c r="A177" t="s">
        <v>19</v>
      </c>
      <c r="B177" t="s">
        <v>801</v>
      </c>
      <c r="C177" t="str">
        <f>IF((COUNTIFS(MappingEditor!$F:$F,$A177,MappingEditor!$G:$G,$B177,MappingEditor!$J:$J,"Y")+COUNTIFS(FallbackEditor!$G:$G,$A177,FallbackEditor!$H:$H,$B177,FallbackEditor!$J:$J,"Y"))&gt;0,"mapped","unmapped")</f>
        <v>unmapped</v>
      </c>
    </row>
    <row r="178" spans="1:3" x14ac:dyDescent="0.2">
      <c r="A178" t="s">
        <v>19</v>
      </c>
      <c r="B178" t="s">
        <v>802</v>
      </c>
      <c r="C178" t="str">
        <f>IF((COUNTIFS(MappingEditor!$F:$F,$A178,MappingEditor!$G:$G,$B178,MappingEditor!$J:$J,"Y")+COUNTIFS(FallbackEditor!$G:$G,$A178,FallbackEditor!$H:$H,$B178,FallbackEditor!$J:$J,"Y"))&gt;0,"mapped","unmapped")</f>
        <v>unmapped</v>
      </c>
    </row>
    <row r="179" spans="1:3" x14ac:dyDescent="0.2">
      <c r="A179" t="s">
        <v>19</v>
      </c>
      <c r="B179" t="s">
        <v>803</v>
      </c>
      <c r="C179" t="str">
        <f>IF((COUNTIFS(MappingEditor!$F:$F,$A179,MappingEditor!$G:$G,$B179,MappingEditor!$J:$J,"Y")+COUNTIFS(FallbackEditor!$G:$G,$A179,FallbackEditor!$H:$H,$B179,FallbackEditor!$J:$J,"Y"))&gt;0,"mapped","unmapped")</f>
        <v>unmapped</v>
      </c>
    </row>
    <row r="180" spans="1:3" x14ac:dyDescent="0.2">
      <c r="A180" t="s">
        <v>19</v>
      </c>
      <c r="B180" t="s">
        <v>804</v>
      </c>
      <c r="C180" t="str">
        <f>IF((COUNTIFS(MappingEditor!$F:$F,$A180,MappingEditor!$G:$G,$B180,MappingEditor!$J:$J,"Y")+COUNTIFS(FallbackEditor!$G:$G,$A180,FallbackEditor!$H:$H,$B180,FallbackEditor!$J:$J,"Y"))&gt;0,"mapped","unmapped")</f>
        <v>unmapped</v>
      </c>
    </row>
    <row r="181" spans="1:3" x14ac:dyDescent="0.2">
      <c r="A181" t="s">
        <v>19</v>
      </c>
      <c r="B181" t="s">
        <v>219</v>
      </c>
      <c r="C181" t="str">
        <f>IF((COUNTIFS(MappingEditor!$F:$F,$A181,MappingEditor!$G:$G,$B181,MappingEditor!$J:$J,"Y")+COUNTIFS(FallbackEditor!$G:$G,$A181,FallbackEditor!$H:$H,$B181,FallbackEditor!$J:$J,"Y"))&gt;0,"mapped","unmapped")</f>
        <v>mapped</v>
      </c>
    </row>
    <row r="182" spans="1:3" x14ac:dyDescent="0.2">
      <c r="A182" t="s">
        <v>19</v>
      </c>
      <c r="B182" t="s">
        <v>20</v>
      </c>
      <c r="C182" t="str">
        <f>IF((COUNTIFS(MappingEditor!$F:$F,$A182,MappingEditor!$G:$G,$B182,MappingEditor!$J:$J,"Y")+COUNTIFS(FallbackEditor!$G:$G,$A182,FallbackEditor!$H:$H,$B182,FallbackEditor!$J:$J,"Y"))&gt;0,"mapped","unmapped")</f>
        <v>mapped</v>
      </c>
    </row>
    <row r="183" spans="1:3" x14ac:dyDescent="0.2">
      <c r="A183" t="s">
        <v>19</v>
      </c>
      <c r="B183" t="s">
        <v>805</v>
      </c>
      <c r="C183" t="str">
        <f>IF((COUNTIFS(MappingEditor!$F:$F,$A183,MappingEditor!$G:$G,$B183,MappingEditor!$J:$J,"Y")+COUNTIFS(FallbackEditor!$G:$G,$A183,FallbackEditor!$H:$H,$B183,FallbackEditor!$J:$J,"Y"))&gt;0,"mapped","unmapped")</f>
        <v>unmapped</v>
      </c>
    </row>
    <row r="184" spans="1:3" x14ac:dyDescent="0.2">
      <c r="A184" t="s">
        <v>19</v>
      </c>
      <c r="B184" t="s">
        <v>806</v>
      </c>
      <c r="C184" t="str">
        <f>IF((COUNTIFS(MappingEditor!$F:$F,$A184,MappingEditor!$G:$G,$B184,MappingEditor!$J:$J,"Y")+COUNTIFS(FallbackEditor!$G:$G,$A184,FallbackEditor!$H:$H,$B184,FallbackEditor!$J:$J,"Y"))&gt;0,"mapped","unmapped")</f>
        <v>unmapped</v>
      </c>
    </row>
    <row r="185" spans="1:3" x14ac:dyDescent="0.2">
      <c r="A185" t="s">
        <v>19</v>
      </c>
      <c r="B185" t="s">
        <v>298</v>
      </c>
      <c r="C185" t="str">
        <f>IF((COUNTIFS(MappingEditor!$F:$F,$A185,MappingEditor!$G:$G,$B185,MappingEditor!$J:$J,"Y")+COUNTIFS(FallbackEditor!$G:$G,$A185,FallbackEditor!$H:$H,$B185,FallbackEditor!$J:$J,"Y"))&gt;0,"mapped","unmapped")</f>
        <v>unmapped</v>
      </c>
    </row>
    <row r="186" spans="1:3" x14ac:dyDescent="0.2">
      <c r="A186" t="s">
        <v>19</v>
      </c>
      <c r="B186" t="s">
        <v>807</v>
      </c>
      <c r="C186" t="str">
        <f>IF((COUNTIFS(MappingEditor!$F:$F,$A186,MappingEditor!$G:$G,$B186,MappingEditor!$J:$J,"Y")+COUNTIFS(FallbackEditor!$G:$G,$A186,FallbackEditor!$H:$H,$B186,FallbackEditor!$J:$J,"Y"))&gt;0,"mapped","unmapped")</f>
        <v>unmapped</v>
      </c>
    </row>
    <row r="187" spans="1:3" x14ac:dyDescent="0.2">
      <c r="A187" t="s">
        <v>19</v>
      </c>
      <c r="B187" t="s">
        <v>808</v>
      </c>
      <c r="C187" t="str">
        <f>IF((COUNTIFS(MappingEditor!$F:$F,$A187,MappingEditor!$G:$G,$B187,MappingEditor!$J:$J,"Y")+COUNTIFS(FallbackEditor!$G:$G,$A187,FallbackEditor!$H:$H,$B187,FallbackEditor!$J:$J,"Y"))&gt;0,"mapped","unmapped")</f>
        <v>unmapped</v>
      </c>
    </row>
    <row r="188" spans="1:3" x14ac:dyDescent="0.2">
      <c r="A188" t="s">
        <v>19</v>
      </c>
      <c r="B188" t="s">
        <v>725</v>
      </c>
      <c r="C188" t="str">
        <f>IF((COUNTIFS(MappingEditor!$F:$F,$A188,MappingEditor!$G:$G,$B188,MappingEditor!$J:$J,"Y")+COUNTIFS(FallbackEditor!$G:$G,$A188,FallbackEditor!$H:$H,$B188,FallbackEditor!$J:$J,"Y"))&gt;0,"mapped","unmapped")</f>
        <v>unmapped</v>
      </c>
    </row>
    <row r="189" spans="1:3" x14ac:dyDescent="0.2">
      <c r="A189" t="s">
        <v>19</v>
      </c>
      <c r="B189" t="s">
        <v>809</v>
      </c>
      <c r="C189" t="str">
        <f>IF((COUNTIFS(MappingEditor!$F:$F,$A189,MappingEditor!$G:$G,$B189,MappingEditor!$J:$J,"Y")+COUNTIFS(FallbackEditor!$G:$G,$A189,FallbackEditor!$H:$H,$B189,FallbackEditor!$J:$J,"Y"))&gt;0,"mapped","unmapped")</f>
        <v>unmapped</v>
      </c>
    </row>
    <row r="190" spans="1:3" x14ac:dyDescent="0.2">
      <c r="A190" t="s">
        <v>19</v>
      </c>
      <c r="B190" t="s">
        <v>810</v>
      </c>
      <c r="C190" t="str">
        <f>IF((COUNTIFS(MappingEditor!$F:$F,$A190,MappingEditor!$G:$G,$B190,MappingEditor!$J:$J,"Y")+COUNTIFS(FallbackEditor!$G:$G,$A190,FallbackEditor!$H:$H,$B190,FallbackEditor!$J:$J,"Y"))&gt;0,"mapped","unmapped")</f>
        <v>unmapped</v>
      </c>
    </row>
    <row r="191" spans="1:3" x14ac:dyDescent="0.2">
      <c r="A191" t="s">
        <v>19</v>
      </c>
      <c r="B191" t="s">
        <v>50</v>
      </c>
      <c r="C191" t="str">
        <f>IF((COUNTIFS(MappingEditor!$F:$F,$A191,MappingEditor!$G:$G,$B191,MappingEditor!$J:$J,"Y")+COUNTIFS(FallbackEditor!$G:$G,$A191,FallbackEditor!$H:$H,$B191,FallbackEditor!$J:$J,"Y"))&gt;0,"mapped","unmapped")</f>
        <v>mapped</v>
      </c>
    </row>
    <row r="192" spans="1:3" x14ac:dyDescent="0.2">
      <c r="A192" t="s">
        <v>19</v>
      </c>
      <c r="B192" t="s">
        <v>726</v>
      </c>
      <c r="C192" t="str">
        <f>IF((COUNTIFS(MappingEditor!$F:$F,$A192,MappingEditor!$G:$G,$B192,MappingEditor!$J:$J,"Y")+COUNTIFS(FallbackEditor!$G:$G,$A192,FallbackEditor!$H:$H,$B192,FallbackEditor!$J:$J,"Y"))&gt;0,"mapped","unmapped")</f>
        <v>unmapped</v>
      </c>
    </row>
    <row r="193" spans="1:3" x14ac:dyDescent="0.2">
      <c r="A193" t="s">
        <v>19</v>
      </c>
      <c r="B193" t="s">
        <v>811</v>
      </c>
      <c r="C193" t="str">
        <f>IF((COUNTIFS(MappingEditor!$F:$F,$A193,MappingEditor!$G:$G,$B193,MappingEditor!$J:$J,"Y")+COUNTIFS(FallbackEditor!$G:$G,$A193,FallbackEditor!$H:$H,$B193,FallbackEditor!$J:$J,"Y"))&gt;0,"mapped","unmapped")</f>
        <v>unmapped</v>
      </c>
    </row>
    <row r="194" spans="1:3" x14ac:dyDescent="0.2">
      <c r="A194" t="s">
        <v>19</v>
      </c>
      <c r="B194" t="s">
        <v>45</v>
      </c>
      <c r="C194" t="str">
        <f>IF((COUNTIFS(MappingEditor!$F:$F,$A194,MappingEditor!$G:$G,$B194,MappingEditor!$J:$J,"Y")+COUNTIFS(FallbackEditor!$G:$G,$A194,FallbackEditor!$H:$H,$B194,FallbackEditor!$J:$J,"Y"))&gt;0,"mapped","unmapped")</f>
        <v>mapped</v>
      </c>
    </row>
    <row r="195" spans="1:3" x14ac:dyDescent="0.2">
      <c r="A195" t="s">
        <v>19</v>
      </c>
      <c r="B195" t="s">
        <v>812</v>
      </c>
      <c r="C195" t="str">
        <f>IF((COUNTIFS(MappingEditor!$F:$F,$A195,MappingEditor!$G:$G,$B195,MappingEditor!$J:$J,"Y")+COUNTIFS(FallbackEditor!$G:$G,$A195,FallbackEditor!$H:$H,$B195,FallbackEditor!$J:$J,"Y"))&gt;0,"mapped","unmapped")</f>
        <v>unmapped</v>
      </c>
    </row>
    <row r="196" spans="1:3" x14ac:dyDescent="0.2">
      <c r="A196" t="s">
        <v>19</v>
      </c>
      <c r="B196" t="s">
        <v>42</v>
      </c>
      <c r="C196" t="str">
        <f>IF((COUNTIFS(MappingEditor!$F:$F,$A196,MappingEditor!$G:$G,$B196,MappingEditor!$J:$J,"Y")+COUNTIFS(FallbackEditor!$G:$G,$A196,FallbackEditor!$H:$H,$B196,FallbackEditor!$J:$J,"Y"))&gt;0,"mapped","unmapped")</f>
        <v>mapped</v>
      </c>
    </row>
    <row r="197" spans="1:3" x14ac:dyDescent="0.2">
      <c r="A197" t="s">
        <v>19</v>
      </c>
      <c r="B197" t="s">
        <v>46</v>
      </c>
      <c r="C197" t="str">
        <f>IF((COUNTIFS(MappingEditor!$F:$F,$A197,MappingEditor!$G:$G,$B197,MappingEditor!$J:$J,"Y")+COUNTIFS(FallbackEditor!$G:$G,$A197,FallbackEditor!$H:$H,$B197,FallbackEditor!$J:$J,"Y"))&gt;0,"mapped","unmapped")</f>
        <v>mapped</v>
      </c>
    </row>
    <row r="198" spans="1:3" x14ac:dyDescent="0.2">
      <c r="A198" t="s">
        <v>19</v>
      </c>
      <c r="B198" t="s">
        <v>47</v>
      </c>
      <c r="C198" t="str">
        <f>IF((COUNTIFS(MappingEditor!$F:$F,$A198,MappingEditor!$G:$G,$B198,MappingEditor!$J:$J,"Y")+COUNTIFS(FallbackEditor!$G:$G,$A198,FallbackEditor!$H:$H,$B198,FallbackEditor!$J:$J,"Y"))&gt;0,"mapped","unmapped")</f>
        <v>mapped</v>
      </c>
    </row>
    <row r="199" spans="1:3" x14ac:dyDescent="0.2">
      <c r="A199" t="s">
        <v>19</v>
      </c>
      <c r="B199" t="s">
        <v>813</v>
      </c>
      <c r="C199" t="str">
        <f>IF((COUNTIFS(MappingEditor!$F:$F,$A199,MappingEditor!$G:$G,$B199,MappingEditor!$J:$J,"Y")+COUNTIFS(FallbackEditor!$G:$G,$A199,FallbackEditor!$H:$H,$B199,FallbackEditor!$J:$J,"Y"))&gt;0,"mapped","unmapped")</f>
        <v>unmapped</v>
      </c>
    </row>
    <row r="200" spans="1:3" x14ac:dyDescent="0.2">
      <c r="A200" t="s">
        <v>19</v>
      </c>
      <c r="B200" t="s">
        <v>814</v>
      </c>
      <c r="C200" t="str">
        <f>IF((COUNTIFS(MappingEditor!$F:$F,$A200,MappingEditor!$G:$G,$B200,MappingEditor!$J:$J,"Y")+COUNTIFS(FallbackEditor!$G:$G,$A200,FallbackEditor!$H:$H,$B200,FallbackEditor!$J:$J,"Y"))&gt;0,"mapped","unmapped")</f>
        <v>unmapped</v>
      </c>
    </row>
    <row r="201" spans="1:3" x14ac:dyDescent="0.2">
      <c r="A201" t="s">
        <v>19</v>
      </c>
      <c r="B201" t="s">
        <v>815</v>
      </c>
      <c r="C201" t="str">
        <f>IF((COUNTIFS(MappingEditor!$F:$F,$A201,MappingEditor!$G:$G,$B201,MappingEditor!$J:$J,"Y")+COUNTIFS(FallbackEditor!$G:$G,$A201,FallbackEditor!$H:$H,$B201,FallbackEditor!$J:$J,"Y"))&gt;0,"mapped","unmapped")</f>
        <v>unmapped</v>
      </c>
    </row>
    <row r="202" spans="1:3" x14ac:dyDescent="0.2">
      <c r="A202" t="s">
        <v>19</v>
      </c>
      <c r="B202" t="s">
        <v>234</v>
      </c>
      <c r="C202" t="str">
        <f>IF((COUNTIFS(MappingEditor!$F:$F,$A202,MappingEditor!$G:$G,$B202,MappingEditor!$J:$J,"Y")+COUNTIFS(FallbackEditor!$G:$G,$A202,FallbackEditor!$H:$H,$B202,FallbackEditor!$J:$J,"Y"))&gt;0,"mapped","unmapped")</f>
        <v>mapped</v>
      </c>
    </row>
    <row r="203" spans="1:3" x14ac:dyDescent="0.2">
      <c r="A203" t="s">
        <v>19</v>
      </c>
      <c r="B203" t="s">
        <v>816</v>
      </c>
      <c r="C203" t="str">
        <f>IF((COUNTIFS(MappingEditor!$F:$F,$A203,MappingEditor!$G:$G,$B203,MappingEditor!$J:$J,"Y")+COUNTIFS(FallbackEditor!$G:$G,$A203,FallbackEditor!$H:$H,$B203,FallbackEditor!$J:$J,"Y"))&gt;0,"mapped","unmapped")</f>
        <v>unmapped</v>
      </c>
    </row>
    <row r="204" spans="1:3" x14ac:dyDescent="0.2">
      <c r="A204" t="s">
        <v>19</v>
      </c>
      <c r="B204" t="s">
        <v>817</v>
      </c>
      <c r="C204" t="str">
        <f>IF((COUNTIFS(MappingEditor!$F:$F,$A204,MappingEditor!$G:$G,$B204,MappingEditor!$J:$J,"Y")+COUNTIFS(FallbackEditor!$G:$G,$A204,FallbackEditor!$H:$H,$B204,FallbackEditor!$J:$J,"Y"))&gt;0,"mapped","unmapped")</f>
        <v>unmapped</v>
      </c>
    </row>
    <row r="205" spans="1:3" x14ac:dyDescent="0.2">
      <c r="A205" t="s">
        <v>19</v>
      </c>
      <c r="B205" t="s">
        <v>818</v>
      </c>
      <c r="C205" t="str">
        <f>IF((COUNTIFS(MappingEditor!$F:$F,$A205,MappingEditor!$G:$G,$B205,MappingEditor!$J:$J,"Y")+COUNTIFS(FallbackEditor!$G:$G,$A205,FallbackEditor!$H:$H,$B205,FallbackEditor!$J:$J,"Y"))&gt;0,"mapped","unmapped")</f>
        <v>unmapped</v>
      </c>
    </row>
    <row r="206" spans="1:3" x14ac:dyDescent="0.2">
      <c r="A206" t="s">
        <v>19</v>
      </c>
      <c r="B206" t="s">
        <v>749</v>
      </c>
      <c r="C206" t="str">
        <f>IF((COUNTIFS(MappingEditor!$F:$F,$A206,MappingEditor!$G:$G,$B206,MappingEditor!$J:$J,"Y")+COUNTIFS(FallbackEditor!$G:$G,$A206,FallbackEditor!$H:$H,$B206,FallbackEditor!$J:$J,"Y"))&gt;0,"mapped","unmapped")</f>
        <v>unmapped</v>
      </c>
    </row>
    <row r="207" spans="1:3" x14ac:dyDescent="0.2">
      <c r="A207" t="s">
        <v>19</v>
      </c>
      <c r="B207" t="s">
        <v>819</v>
      </c>
      <c r="C207" t="str">
        <f>IF((COUNTIFS(MappingEditor!$F:$F,$A207,MappingEditor!$G:$G,$B207,MappingEditor!$J:$J,"Y")+COUNTIFS(FallbackEditor!$G:$G,$A207,FallbackEditor!$H:$H,$B207,FallbackEditor!$J:$J,"Y"))&gt;0,"mapped","unmapped")</f>
        <v>unmapped</v>
      </c>
    </row>
    <row r="208" spans="1:3" x14ac:dyDescent="0.2">
      <c r="A208" t="s">
        <v>19</v>
      </c>
      <c r="B208" t="s">
        <v>820</v>
      </c>
      <c r="C208" t="str">
        <f>IF((COUNTIFS(MappingEditor!$F:$F,$A208,MappingEditor!$G:$G,$B208,MappingEditor!$J:$J,"Y")+COUNTIFS(FallbackEditor!$G:$G,$A208,FallbackEditor!$H:$H,$B208,FallbackEditor!$J:$J,"Y"))&gt;0,"mapped","unmapped")</f>
        <v>unmapped</v>
      </c>
    </row>
    <row r="209" spans="1:3" x14ac:dyDescent="0.2">
      <c r="A209" t="s">
        <v>19</v>
      </c>
      <c r="B209" t="s">
        <v>821</v>
      </c>
      <c r="C209" t="str">
        <f>IF((COUNTIFS(MappingEditor!$F:$F,$A209,MappingEditor!$G:$G,$B209,MappingEditor!$J:$J,"Y")+COUNTIFS(FallbackEditor!$G:$G,$A209,FallbackEditor!$H:$H,$B209,FallbackEditor!$J:$J,"Y"))&gt;0,"mapped","unmapped")</f>
        <v>unmapped</v>
      </c>
    </row>
    <row r="210" spans="1:3" x14ac:dyDescent="0.2">
      <c r="A210" t="s">
        <v>19</v>
      </c>
      <c r="B210" t="s">
        <v>822</v>
      </c>
      <c r="C210" t="str">
        <f>IF((COUNTIFS(MappingEditor!$F:$F,$A210,MappingEditor!$G:$G,$B210,MappingEditor!$J:$J,"Y")+COUNTIFS(FallbackEditor!$G:$G,$A210,FallbackEditor!$H:$H,$B210,FallbackEditor!$J:$J,"Y"))&gt;0,"mapped","unmapped")</f>
        <v>unmapped</v>
      </c>
    </row>
    <row r="211" spans="1:3" x14ac:dyDescent="0.2">
      <c r="A211" t="s">
        <v>19</v>
      </c>
      <c r="B211" t="s">
        <v>117</v>
      </c>
      <c r="C211" t="str">
        <f>IF((COUNTIFS(MappingEditor!$F:$F,$A211,MappingEditor!$G:$G,$B211,MappingEditor!$J:$J,"Y")+COUNTIFS(FallbackEditor!$G:$G,$A211,FallbackEditor!$H:$H,$B211,FallbackEditor!$J:$J,"Y"))&gt;0,"mapped","unmapped")</f>
        <v>mapped</v>
      </c>
    </row>
    <row r="212" spans="1:3" x14ac:dyDescent="0.2">
      <c r="A212" t="s">
        <v>19</v>
      </c>
      <c r="B212" t="s">
        <v>823</v>
      </c>
      <c r="C212" t="str">
        <f>IF((COUNTIFS(MappingEditor!$F:$F,$A212,MappingEditor!$G:$G,$B212,MappingEditor!$J:$J,"Y")+COUNTIFS(FallbackEditor!$G:$G,$A212,FallbackEditor!$H:$H,$B212,FallbackEditor!$J:$J,"Y"))&gt;0,"mapped","unmapped")</f>
        <v>unmapped</v>
      </c>
    </row>
    <row r="213" spans="1:3" x14ac:dyDescent="0.2">
      <c r="A213" t="s">
        <v>19</v>
      </c>
      <c r="B213" t="s">
        <v>824</v>
      </c>
      <c r="C213" t="str">
        <f>IF((COUNTIFS(MappingEditor!$F:$F,$A213,MappingEditor!$G:$G,$B213,MappingEditor!$J:$J,"Y")+COUNTIFS(FallbackEditor!$G:$G,$A213,FallbackEditor!$H:$H,$B213,FallbackEditor!$J:$J,"Y"))&gt;0,"mapped","unmapped")</f>
        <v>unmapped</v>
      </c>
    </row>
    <row r="214" spans="1:3" x14ac:dyDescent="0.2">
      <c r="A214" t="s">
        <v>19</v>
      </c>
      <c r="B214" t="s">
        <v>825</v>
      </c>
      <c r="C214" t="str">
        <f>IF((COUNTIFS(MappingEditor!$F:$F,$A214,MappingEditor!$G:$G,$B214,MappingEditor!$J:$J,"Y")+COUNTIFS(FallbackEditor!$G:$G,$A214,FallbackEditor!$H:$H,$B214,FallbackEditor!$J:$J,"Y"))&gt;0,"mapped","unmapped")</f>
        <v>unmapped</v>
      </c>
    </row>
    <row r="215" spans="1:3" x14ac:dyDescent="0.2">
      <c r="A215" t="s">
        <v>19</v>
      </c>
      <c r="B215" t="s">
        <v>826</v>
      </c>
      <c r="C215" t="str">
        <f>IF((COUNTIFS(MappingEditor!$F:$F,$A215,MappingEditor!$G:$G,$B215,MappingEditor!$J:$J,"Y")+COUNTIFS(FallbackEditor!$G:$G,$A215,FallbackEditor!$H:$H,$B215,FallbackEditor!$J:$J,"Y"))&gt;0,"mapped","unmapped")</f>
        <v>unmapped</v>
      </c>
    </row>
    <row r="216" spans="1:3" x14ac:dyDescent="0.2">
      <c r="A216" t="s">
        <v>19</v>
      </c>
      <c r="B216" t="s">
        <v>276</v>
      </c>
      <c r="C216" t="str">
        <f>IF((COUNTIFS(MappingEditor!$F:$F,$A216,MappingEditor!$G:$G,$B216,MappingEditor!$J:$J,"Y")+COUNTIFS(FallbackEditor!$G:$G,$A216,FallbackEditor!$H:$H,$B216,FallbackEditor!$J:$J,"Y"))&gt;0,"mapped","unmapped")</f>
        <v>mapped</v>
      </c>
    </row>
    <row r="217" spans="1:3" x14ac:dyDescent="0.2">
      <c r="A217" t="s">
        <v>19</v>
      </c>
      <c r="B217" t="s">
        <v>229</v>
      </c>
      <c r="C217" t="str">
        <f>IF((COUNTIFS(MappingEditor!$F:$F,$A217,MappingEditor!$G:$G,$B217,MappingEditor!$J:$J,"Y")+COUNTIFS(FallbackEditor!$G:$G,$A217,FallbackEditor!$H:$H,$B217,FallbackEditor!$J:$J,"Y"))&gt;0,"mapped","unmapped")</f>
        <v>mapped</v>
      </c>
    </row>
    <row r="218" spans="1:3" x14ac:dyDescent="0.2">
      <c r="A218" t="s">
        <v>19</v>
      </c>
      <c r="B218" t="s">
        <v>257</v>
      </c>
      <c r="C218" t="str">
        <f>IF((COUNTIFS(MappingEditor!$F:$F,$A218,MappingEditor!$G:$G,$B218,MappingEditor!$J:$J,"Y")+COUNTIFS(FallbackEditor!$G:$G,$A218,FallbackEditor!$H:$H,$B218,FallbackEditor!$J:$J,"Y"))&gt;0,"mapped","unmapped")</f>
        <v>mapped</v>
      </c>
    </row>
    <row r="219" spans="1:3" x14ac:dyDescent="0.2">
      <c r="A219" t="s">
        <v>19</v>
      </c>
      <c r="B219" t="s">
        <v>255</v>
      </c>
      <c r="C219" t="str">
        <f>IF((COUNTIFS(MappingEditor!$F:$F,$A219,MappingEditor!$G:$G,$B219,MappingEditor!$J:$J,"Y")+COUNTIFS(FallbackEditor!$G:$G,$A219,FallbackEditor!$H:$H,$B219,FallbackEditor!$J:$J,"Y"))&gt;0,"mapped","unmapped")</f>
        <v>mapped</v>
      </c>
    </row>
    <row r="220" spans="1:3" x14ac:dyDescent="0.2">
      <c r="A220" t="s">
        <v>19</v>
      </c>
      <c r="B220" t="s">
        <v>259</v>
      </c>
      <c r="C220" t="str">
        <f>IF((COUNTIFS(MappingEditor!$F:$F,$A220,MappingEditor!$G:$G,$B220,MappingEditor!$J:$J,"Y")+COUNTIFS(FallbackEditor!$G:$G,$A220,FallbackEditor!$H:$H,$B220,FallbackEditor!$J:$J,"Y"))&gt;0,"mapped","unmapped")</f>
        <v>mapped</v>
      </c>
    </row>
    <row r="221" spans="1:3" x14ac:dyDescent="0.2">
      <c r="A221" t="s">
        <v>19</v>
      </c>
      <c r="B221" t="s">
        <v>263</v>
      </c>
      <c r="C221" t="str">
        <f>IF((COUNTIFS(MappingEditor!$F:$F,$A221,MappingEditor!$G:$G,$B221,MappingEditor!$J:$J,"Y")+COUNTIFS(FallbackEditor!$G:$G,$A221,FallbackEditor!$H:$H,$B221,FallbackEditor!$J:$J,"Y"))&gt;0,"mapped","unmapped")</f>
        <v>mapped</v>
      </c>
    </row>
    <row r="222" spans="1:3" x14ac:dyDescent="0.2">
      <c r="A222" t="s">
        <v>19</v>
      </c>
      <c r="B222" t="s">
        <v>300</v>
      </c>
      <c r="C222" t="str">
        <f>IF((COUNTIFS(MappingEditor!$F:$F,$A222,MappingEditor!$G:$G,$B222,MappingEditor!$J:$J,"Y")+COUNTIFS(FallbackEditor!$G:$G,$A222,FallbackEditor!$H:$H,$B222,FallbackEditor!$J:$J,"Y"))&gt;0,"mapped","unmapped")</f>
        <v>unmapped</v>
      </c>
    </row>
    <row r="223" spans="1:3" x14ac:dyDescent="0.2">
      <c r="A223" t="s">
        <v>19</v>
      </c>
      <c r="B223" t="s">
        <v>125</v>
      </c>
      <c r="C223" t="str">
        <f>IF((COUNTIFS(MappingEditor!$F:$F,$A223,MappingEditor!$G:$G,$B223,MappingEditor!$J:$J,"Y")+COUNTIFS(FallbackEditor!$G:$G,$A223,FallbackEditor!$H:$H,$B223,FallbackEditor!$J:$J,"Y"))&gt;0,"mapped","unmapped")</f>
        <v>mapped</v>
      </c>
    </row>
    <row r="224" spans="1:3" x14ac:dyDescent="0.2">
      <c r="A224" t="s">
        <v>19</v>
      </c>
      <c r="B224" t="s">
        <v>827</v>
      </c>
      <c r="C224" t="str">
        <f>IF((COUNTIFS(MappingEditor!$F:$F,$A224,MappingEditor!$G:$G,$B224,MappingEditor!$J:$J,"Y")+COUNTIFS(FallbackEditor!$G:$G,$A224,FallbackEditor!$H:$H,$B224,FallbackEditor!$J:$J,"Y"))&gt;0,"mapped","unmapped")</f>
        <v>unmapped</v>
      </c>
    </row>
    <row r="225" spans="1:3" x14ac:dyDescent="0.2">
      <c r="A225" t="s">
        <v>19</v>
      </c>
      <c r="B225" t="s">
        <v>828</v>
      </c>
      <c r="C225" t="str">
        <f>IF((COUNTIFS(MappingEditor!$F:$F,$A225,MappingEditor!$G:$G,$B225,MappingEditor!$J:$J,"Y")+COUNTIFS(FallbackEditor!$G:$G,$A225,FallbackEditor!$H:$H,$B225,FallbackEditor!$J:$J,"Y"))&gt;0,"mapped","unmapped")</f>
        <v>unmapped</v>
      </c>
    </row>
    <row r="226" spans="1:3" x14ac:dyDescent="0.2">
      <c r="A226" t="s">
        <v>19</v>
      </c>
      <c r="B226" t="s">
        <v>829</v>
      </c>
      <c r="C226" t="str">
        <f>IF((COUNTIFS(MappingEditor!$F:$F,$A226,MappingEditor!$G:$G,$B226,MappingEditor!$J:$J,"Y")+COUNTIFS(FallbackEditor!$G:$G,$A226,FallbackEditor!$H:$H,$B226,FallbackEditor!$J:$J,"Y"))&gt;0,"mapped","unmapped")</f>
        <v>unmapped</v>
      </c>
    </row>
    <row r="227" spans="1:3" x14ac:dyDescent="0.2">
      <c r="A227" t="s">
        <v>19</v>
      </c>
      <c r="B227" t="s">
        <v>830</v>
      </c>
      <c r="C227" t="str">
        <f>IF((COUNTIFS(MappingEditor!$F:$F,$A227,MappingEditor!$G:$G,$B227,MappingEditor!$J:$J,"Y")+COUNTIFS(FallbackEditor!$G:$G,$A227,FallbackEditor!$H:$H,$B227,FallbackEditor!$J:$J,"Y"))&gt;0,"mapped","unmapped")</f>
        <v>unmapped</v>
      </c>
    </row>
    <row r="228" spans="1:3" x14ac:dyDescent="0.2">
      <c r="A228" t="s">
        <v>19</v>
      </c>
      <c r="B228" t="s">
        <v>831</v>
      </c>
      <c r="C228" t="str">
        <f>IF((COUNTIFS(MappingEditor!$F:$F,$A228,MappingEditor!$G:$G,$B228,MappingEditor!$J:$J,"Y")+COUNTIFS(FallbackEditor!$G:$G,$A228,FallbackEditor!$H:$H,$B228,FallbackEditor!$J:$J,"Y"))&gt;0,"mapped","unmapped")</f>
        <v>unmapped</v>
      </c>
    </row>
    <row r="229" spans="1:3" x14ac:dyDescent="0.2">
      <c r="A229" t="s">
        <v>19</v>
      </c>
      <c r="B229" t="s">
        <v>832</v>
      </c>
      <c r="C229" t="str">
        <f>IF((COUNTIFS(MappingEditor!$F:$F,$A229,MappingEditor!$G:$G,$B229,MappingEditor!$J:$J,"Y")+COUNTIFS(FallbackEditor!$G:$G,$A229,FallbackEditor!$H:$H,$B229,FallbackEditor!$J:$J,"Y"))&gt;0,"mapped","unmapped")</f>
        <v>unmapped</v>
      </c>
    </row>
    <row r="230" spans="1:3" x14ac:dyDescent="0.2">
      <c r="A230" t="s">
        <v>19</v>
      </c>
      <c r="B230" t="s">
        <v>729</v>
      </c>
      <c r="C230" t="str">
        <f>IF((COUNTIFS(MappingEditor!$F:$F,$A230,MappingEditor!$G:$G,$B230,MappingEditor!$J:$J,"Y")+COUNTIFS(FallbackEditor!$G:$G,$A230,FallbackEditor!$H:$H,$B230,FallbackEditor!$J:$J,"Y"))&gt;0,"mapped","unmapped")</f>
        <v>unmapped</v>
      </c>
    </row>
    <row r="231" spans="1:3" x14ac:dyDescent="0.2">
      <c r="A231" t="s">
        <v>19</v>
      </c>
      <c r="B231" t="s">
        <v>37</v>
      </c>
      <c r="C231" t="str">
        <f>IF((COUNTIFS(MappingEditor!$F:$F,$A231,MappingEditor!$G:$G,$B231,MappingEditor!$J:$J,"Y")+COUNTIFS(FallbackEditor!$G:$G,$A231,FallbackEditor!$H:$H,$B231,FallbackEditor!$J:$J,"Y"))&gt;0,"mapped","unmapped")</f>
        <v>mapped</v>
      </c>
    </row>
    <row r="232" spans="1:3" x14ac:dyDescent="0.2">
      <c r="A232" t="s">
        <v>19</v>
      </c>
      <c r="B232" t="s">
        <v>267</v>
      </c>
      <c r="C232" t="str">
        <f>IF((COUNTIFS(MappingEditor!$F:$F,$A232,MappingEditor!$G:$G,$B232,MappingEditor!$J:$J,"Y")+COUNTIFS(FallbackEditor!$G:$G,$A232,FallbackEditor!$H:$H,$B232,FallbackEditor!$J:$J,"Y"))&gt;0,"mapped","unmapped")</f>
        <v>mapped</v>
      </c>
    </row>
    <row r="233" spans="1:3" x14ac:dyDescent="0.2">
      <c r="A233" t="s">
        <v>19</v>
      </c>
      <c r="B233" t="s">
        <v>833</v>
      </c>
      <c r="C233" t="str">
        <f>IF((COUNTIFS(MappingEditor!$F:$F,$A233,MappingEditor!$G:$G,$B233,MappingEditor!$J:$J,"Y")+COUNTIFS(FallbackEditor!$G:$G,$A233,FallbackEditor!$H:$H,$B233,FallbackEditor!$J:$J,"Y"))&gt;0,"mapped","unmapped")</f>
        <v>unmapped</v>
      </c>
    </row>
    <row r="234" spans="1:3" x14ac:dyDescent="0.2">
      <c r="A234" t="s">
        <v>19</v>
      </c>
      <c r="B234" t="s">
        <v>834</v>
      </c>
      <c r="C234" t="str">
        <f>IF((COUNTIFS(MappingEditor!$F:$F,$A234,MappingEditor!$G:$G,$B234,MappingEditor!$J:$J,"Y")+COUNTIFS(FallbackEditor!$G:$G,$A234,FallbackEditor!$H:$H,$B234,FallbackEditor!$J:$J,"Y"))&gt;0,"mapped","unmapped")</f>
        <v>unmapped</v>
      </c>
    </row>
    <row r="235" spans="1:3" x14ac:dyDescent="0.2">
      <c r="A235" t="s">
        <v>19</v>
      </c>
      <c r="B235" t="s">
        <v>835</v>
      </c>
      <c r="C235" t="str">
        <f>IF((COUNTIFS(MappingEditor!$F:$F,$A235,MappingEditor!$G:$G,$B235,MappingEditor!$J:$J,"Y")+COUNTIFS(FallbackEditor!$G:$G,$A235,FallbackEditor!$H:$H,$B235,FallbackEditor!$J:$J,"Y"))&gt;0,"mapped","unmapped")</f>
        <v>unmapped</v>
      </c>
    </row>
    <row r="236" spans="1:3" x14ac:dyDescent="0.2">
      <c r="A236" t="s">
        <v>19</v>
      </c>
      <c r="B236" t="s">
        <v>836</v>
      </c>
      <c r="C236" t="str">
        <f>IF((COUNTIFS(MappingEditor!$F:$F,$A236,MappingEditor!$G:$G,$B236,MappingEditor!$J:$J,"Y")+COUNTIFS(FallbackEditor!$G:$G,$A236,FallbackEditor!$H:$H,$B236,FallbackEditor!$J:$J,"Y"))&gt;0,"mapped","unmapped")</f>
        <v>unmapped</v>
      </c>
    </row>
    <row r="237" spans="1:3" x14ac:dyDescent="0.2">
      <c r="A237" t="s">
        <v>19</v>
      </c>
      <c r="B237" t="s">
        <v>269</v>
      </c>
      <c r="C237" t="str">
        <f>IF((COUNTIFS(MappingEditor!$F:$F,$A237,MappingEditor!$G:$G,$B237,MappingEditor!$J:$J,"Y")+COUNTIFS(FallbackEditor!$G:$G,$A237,FallbackEditor!$H:$H,$B237,FallbackEditor!$J:$J,"Y"))&gt;0,"mapped","unmapped")</f>
        <v>mapped</v>
      </c>
    </row>
    <row r="238" spans="1:3" x14ac:dyDescent="0.2">
      <c r="A238" t="s">
        <v>19</v>
      </c>
      <c r="B238" t="s">
        <v>837</v>
      </c>
      <c r="C238" t="str">
        <f>IF((COUNTIFS(MappingEditor!$F:$F,$A238,MappingEditor!$G:$G,$B238,MappingEditor!$J:$J,"Y")+COUNTIFS(FallbackEditor!$G:$G,$A238,FallbackEditor!$H:$H,$B238,FallbackEditor!$J:$J,"Y"))&gt;0,"mapped","unmapped")</f>
        <v>unmapped</v>
      </c>
    </row>
    <row r="239" spans="1:3" x14ac:dyDescent="0.2">
      <c r="A239" t="s">
        <v>19</v>
      </c>
      <c r="B239" t="s">
        <v>286</v>
      </c>
      <c r="C239" t="str">
        <f>IF((COUNTIFS(MappingEditor!$F:$F,$A239,MappingEditor!$G:$G,$B239,MappingEditor!$J:$J,"Y")+COUNTIFS(FallbackEditor!$G:$G,$A239,FallbackEditor!$H:$H,$B239,FallbackEditor!$J:$J,"Y"))&gt;0,"mapped","unmapped")</f>
        <v>unmapped</v>
      </c>
    </row>
    <row r="240" spans="1:3" x14ac:dyDescent="0.2">
      <c r="A240" t="s">
        <v>19</v>
      </c>
      <c r="B240" t="s">
        <v>283</v>
      </c>
      <c r="C240" t="str">
        <f>IF((COUNTIFS(MappingEditor!$F:$F,$A240,MappingEditor!$G:$G,$B240,MappingEditor!$J:$J,"Y")+COUNTIFS(FallbackEditor!$G:$G,$A240,FallbackEditor!$H:$H,$B240,FallbackEditor!$J:$J,"Y"))&gt;0,"mapped","unmapped")</f>
        <v>unmapped</v>
      </c>
    </row>
    <row r="241" spans="1:3" x14ac:dyDescent="0.2">
      <c r="A241" t="s">
        <v>19</v>
      </c>
      <c r="B241" t="s">
        <v>838</v>
      </c>
      <c r="C241" t="str">
        <f>IF((COUNTIFS(MappingEditor!$F:$F,$A241,MappingEditor!$G:$G,$B241,MappingEditor!$J:$J,"Y")+COUNTIFS(FallbackEditor!$G:$G,$A241,FallbackEditor!$H:$H,$B241,FallbackEditor!$J:$J,"Y"))&gt;0,"mapped","unmapped")</f>
        <v>unmapped</v>
      </c>
    </row>
    <row r="242" spans="1:3" x14ac:dyDescent="0.2">
      <c r="A242" t="s">
        <v>19</v>
      </c>
      <c r="B242" t="s">
        <v>839</v>
      </c>
      <c r="C242" t="str">
        <f>IF((COUNTIFS(MappingEditor!$F:$F,$A242,MappingEditor!$G:$G,$B242,MappingEditor!$J:$J,"Y")+COUNTIFS(FallbackEditor!$G:$G,$A242,FallbackEditor!$H:$H,$B242,FallbackEditor!$J:$J,"Y"))&gt;0,"mapped","unmapped")</f>
        <v>unmapped</v>
      </c>
    </row>
    <row r="243" spans="1:3" x14ac:dyDescent="0.2">
      <c r="A243" t="s">
        <v>19</v>
      </c>
      <c r="B243" t="s">
        <v>840</v>
      </c>
      <c r="C243" t="str">
        <f>IF((COUNTIFS(MappingEditor!$F:$F,$A243,MappingEditor!$G:$G,$B243,MappingEditor!$J:$J,"Y")+COUNTIFS(FallbackEditor!$G:$G,$A243,FallbackEditor!$H:$H,$B243,FallbackEditor!$J:$J,"Y"))&gt;0,"mapped","unmapped")</f>
        <v>unmapped</v>
      </c>
    </row>
    <row r="244" spans="1:3" x14ac:dyDescent="0.2">
      <c r="A244" t="s">
        <v>19</v>
      </c>
      <c r="B244" t="s">
        <v>111</v>
      </c>
      <c r="C244" t="str">
        <f>IF((COUNTIFS(MappingEditor!$F:$F,$A244,MappingEditor!$G:$G,$B244,MappingEditor!$J:$J,"Y")+COUNTIFS(FallbackEditor!$G:$G,$A244,FallbackEditor!$H:$H,$B244,FallbackEditor!$J:$J,"Y"))&gt;0,"mapped","unmapped")</f>
        <v>mapped</v>
      </c>
    </row>
    <row r="245" spans="1:3" x14ac:dyDescent="0.2">
      <c r="A245" t="s">
        <v>19</v>
      </c>
      <c r="B245" t="s">
        <v>841</v>
      </c>
      <c r="C245" t="str">
        <f>IF((COUNTIFS(MappingEditor!$F:$F,$A245,MappingEditor!$G:$G,$B245,MappingEditor!$J:$J,"Y")+COUNTIFS(FallbackEditor!$G:$G,$A245,FallbackEditor!$H:$H,$B245,FallbackEditor!$J:$J,"Y"))&gt;0,"mapped","unmapped")</f>
        <v>unmapped</v>
      </c>
    </row>
    <row r="246" spans="1:3" x14ac:dyDescent="0.2">
      <c r="A246" t="s">
        <v>19</v>
      </c>
      <c r="B246" t="s">
        <v>842</v>
      </c>
      <c r="C246" t="str">
        <f>IF((COUNTIFS(MappingEditor!$F:$F,$A246,MappingEditor!$G:$G,$B246,MappingEditor!$J:$J,"Y")+COUNTIFS(FallbackEditor!$G:$G,$A246,FallbackEditor!$H:$H,$B246,FallbackEditor!$J:$J,"Y"))&gt;0,"mapped","unmapped")</f>
        <v>unmapped</v>
      </c>
    </row>
    <row r="247" spans="1:3" x14ac:dyDescent="0.2">
      <c r="A247" t="s">
        <v>19</v>
      </c>
      <c r="B247" t="s">
        <v>843</v>
      </c>
      <c r="C247" t="str">
        <f>IF((COUNTIFS(MappingEditor!$F:$F,$A247,MappingEditor!$G:$G,$B247,MappingEditor!$J:$J,"Y")+COUNTIFS(FallbackEditor!$G:$G,$A247,FallbackEditor!$H:$H,$B247,FallbackEditor!$J:$J,"Y"))&gt;0,"mapped","unmapped")</f>
        <v>unmapped</v>
      </c>
    </row>
    <row r="248" spans="1:3" x14ac:dyDescent="0.2">
      <c r="A248" t="s">
        <v>19</v>
      </c>
      <c r="B248" t="s">
        <v>844</v>
      </c>
      <c r="C248" t="str">
        <f>IF((COUNTIFS(MappingEditor!$F:$F,$A248,MappingEditor!$G:$G,$B248,MappingEditor!$J:$J,"Y")+COUNTIFS(FallbackEditor!$G:$G,$A248,FallbackEditor!$H:$H,$B248,FallbackEditor!$J:$J,"Y"))&gt;0,"mapped","unmapped")</f>
        <v>unmapped</v>
      </c>
    </row>
    <row r="249" spans="1:3" x14ac:dyDescent="0.2">
      <c r="A249" t="s">
        <v>19</v>
      </c>
      <c r="B249" t="s">
        <v>845</v>
      </c>
      <c r="C249" t="str">
        <f>IF((COUNTIFS(MappingEditor!$F:$F,$A249,MappingEditor!$G:$G,$B249,MappingEditor!$J:$J,"Y")+COUNTIFS(FallbackEditor!$G:$G,$A249,FallbackEditor!$H:$H,$B249,FallbackEditor!$J:$J,"Y"))&gt;0,"mapped","unmapped")</f>
        <v>unmapped</v>
      </c>
    </row>
    <row r="250" spans="1:3" x14ac:dyDescent="0.2">
      <c r="A250" t="s">
        <v>19</v>
      </c>
      <c r="B250" t="s">
        <v>846</v>
      </c>
      <c r="C250" t="str">
        <f>IF((COUNTIFS(MappingEditor!$F:$F,$A250,MappingEditor!$G:$G,$B250,MappingEditor!$J:$J,"Y")+COUNTIFS(FallbackEditor!$G:$G,$A250,FallbackEditor!$H:$H,$B250,FallbackEditor!$J:$J,"Y"))&gt;0,"mapped","unmapped")</f>
        <v>unmapped</v>
      </c>
    </row>
    <row r="251" spans="1:3" x14ac:dyDescent="0.2">
      <c r="A251" t="s">
        <v>19</v>
      </c>
      <c r="B251" t="s">
        <v>847</v>
      </c>
      <c r="C251" t="str">
        <f>IF((COUNTIFS(MappingEditor!$F:$F,$A251,MappingEditor!$G:$G,$B251,MappingEditor!$J:$J,"Y")+COUNTIFS(FallbackEditor!$G:$G,$A251,FallbackEditor!$H:$H,$B251,FallbackEditor!$J:$J,"Y"))&gt;0,"mapped","unmapped")</f>
        <v>unmapped</v>
      </c>
    </row>
    <row r="252" spans="1:3" x14ac:dyDescent="0.2">
      <c r="A252" t="s">
        <v>19</v>
      </c>
      <c r="B252" t="s">
        <v>848</v>
      </c>
      <c r="C252" t="str">
        <f>IF((COUNTIFS(MappingEditor!$F:$F,$A252,MappingEditor!$G:$G,$B252,MappingEditor!$J:$J,"Y")+COUNTIFS(FallbackEditor!$G:$G,$A252,FallbackEditor!$H:$H,$B252,FallbackEditor!$J:$J,"Y"))&gt;0,"mapped","unmapped")</f>
        <v>unmapped</v>
      </c>
    </row>
    <row r="253" spans="1:3" x14ac:dyDescent="0.2">
      <c r="A253" t="s">
        <v>19</v>
      </c>
      <c r="B253" t="s">
        <v>849</v>
      </c>
      <c r="C253" t="str">
        <f>IF((COUNTIFS(MappingEditor!$F:$F,$A253,MappingEditor!$G:$G,$B253,MappingEditor!$J:$J,"Y")+COUNTIFS(FallbackEditor!$G:$G,$A253,FallbackEditor!$H:$H,$B253,FallbackEditor!$J:$J,"Y"))&gt;0,"mapped","unmapped")</f>
        <v>unmapped</v>
      </c>
    </row>
    <row r="254" spans="1:3" x14ac:dyDescent="0.2">
      <c r="A254" t="s">
        <v>19</v>
      </c>
      <c r="B254" t="s">
        <v>850</v>
      </c>
      <c r="C254" t="str">
        <f>IF((COUNTIFS(MappingEditor!$F:$F,$A254,MappingEditor!$G:$G,$B254,MappingEditor!$J:$J,"Y")+COUNTIFS(FallbackEditor!$G:$G,$A254,FallbackEditor!$H:$H,$B254,FallbackEditor!$J:$J,"Y"))&gt;0,"mapped","unmapped")</f>
        <v>unmapped</v>
      </c>
    </row>
    <row r="255" spans="1:3" x14ac:dyDescent="0.2">
      <c r="A255" t="s">
        <v>19</v>
      </c>
      <c r="B255" t="s">
        <v>851</v>
      </c>
      <c r="C255" t="str">
        <f>IF((COUNTIFS(MappingEditor!$F:$F,$A255,MappingEditor!$G:$G,$B255,MappingEditor!$J:$J,"Y")+COUNTIFS(FallbackEditor!$G:$G,$A255,FallbackEditor!$H:$H,$B255,FallbackEditor!$J:$J,"Y"))&gt;0,"mapped","unmapped")</f>
        <v>unmapped</v>
      </c>
    </row>
    <row r="256" spans="1:3" x14ac:dyDescent="0.2">
      <c r="A256" t="s">
        <v>19</v>
      </c>
      <c r="B256" t="s">
        <v>852</v>
      </c>
      <c r="C256" t="str">
        <f>IF((COUNTIFS(MappingEditor!$F:$F,$A256,MappingEditor!$G:$G,$B256,MappingEditor!$J:$J,"Y")+COUNTIFS(FallbackEditor!$G:$G,$A256,FallbackEditor!$H:$H,$B256,FallbackEditor!$J:$J,"Y"))&gt;0,"mapped","unmapped")</f>
        <v>unmapped</v>
      </c>
    </row>
    <row r="257" spans="1:3" x14ac:dyDescent="0.2">
      <c r="A257" t="s">
        <v>19</v>
      </c>
      <c r="B257" t="s">
        <v>853</v>
      </c>
      <c r="C257" t="str">
        <f>IF((COUNTIFS(MappingEditor!$F:$F,$A257,MappingEditor!$G:$G,$B257,MappingEditor!$J:$J,"Y")+COUNTIFS(FallbackEditor!$G:$G,$A257,FallbackEditor!$H:$H,$B257,FallbackEditor!$J:$J,"Y"))&gt;0,"mapped","unmapped")</f>
        <v>unmapped</v>
      </c>
    </row>
    <row r="258" spans="1:3" x14ac:dyDescent="0.2">
      <c r="A258" t="s">
        <v>19</v>
      </c>
      <c r="B258" t="s">
        <v>854</v>
      </c>
      <c r="C258" t="str">
        <f>IF((COUNTIFS(MappingEditor!$F:$F,$A258,MappingEditor!$G:$G,$B258,MappingEditor!$J:$J,"Y")+COUNTIFS(FallbackEditor!$G:$G,$A258,FallbackEditor!$H:$H,$B258,FallbackEditor!$J:$J,"Y"))&gt;0,"mapped","unmapped")</f>
        <v>unmapped</v>
      </c>
    </row>
    <row r="259" spans="1:3" x14ac:dyDescent="0.2">
      <c r="A259" t="s">
        <v>19</v>
      </c>
      <c r="B259" t="s">
        <v>855</v>
      </c>
      <c r="C259" t="str">
        <f>IF((COUNTIFS(MappingEditor!$F:$F,$A259,MappingEditor!$G:$G,$B259,MappingEditor!$J:$J,"Y")+COUNTIFS(FallbackEditor!$G:$G,$A259,FallbackEditor!$H:$H,$B259,FallbackEditor!$J:$J,"Y"))&gt;0,"mapped","unmapped")</f>
        <v>unmapped</v>
      </c>
    </row>
    <row r="260" spans="1:3" x14ac:dyDescent="0.2">
      <c r="A260" t="s">
        <v>19</v>
      </c>
      <c r="B260" t="s">
        <v>856</v>
      </c>
      <c r="C260" t="str">
        <f>IF((COUNTIFS(MappingEditor!$F:$F,$A260,MappingEditor!$G:$G,$B260,MappingEditor!$J:$J,"Y")+COUNTIFS(FallbackEditor!$G:$G,$A260,FallbackEditor!$H:$H,$B260,FallbackEditor!$J:$J,"Y"))&gt;0,"mapped","unmapped")</f>
        <v>unmapped</v>
      </c>
    </row>
    <row r="261" spans="1:3" x14ac:dyDescent="0.2">
      <c r="A261" t="s">
        <v>19</v>
      </c>
      <c r="B261" t="s">
        <v>857</v>
      </c>
      <c r="C261" t="str">
        <f>IF((COUNTIFS(MappingEditor!$F:$F,$A261,MappingEditor!$G:$G,$B261,MappingEditor!$J:$J,"Y")+COUNTIFS(FallbackEditor!$G:$G,$A261,FallbackEditor!$H:$H,$B261,FallbackEditor!$J:$J,"Y"))&gt;0,"mapped","unmapped")</f>
        <v>unmapped</v>
      </c>
    </row>
    <row r="262" spans="1:3" x14ac:dyDescent="0.2">
      <c r="A262" t="s">
        <v>19</v>
      </c>
      <c r="B262" t="s">
        <v>858</v>
      </c>
      <c r="C262" t="str">
        <f>IF((COUNTIFS(MappingEditor!$F:$F,$A262,MappingEditor!$G:$G,$B262,MappingEditor!$J:$J,"Y")+COUNTIFS(FallbackEditor!$G:$G,$A262,FallbackEditor!$H:$H,$B262,FallbackEditor!$J:$J,"Y"))&gt;0,"mapped","unmapped")</f>
        <v>unmapped</v>
      </c>
    </row>
    <row r="263" spans="1:3" x14ac:dyDescent="0.2">
      <c r="A263" t="s">
        <v>19</v>
      </c>
      <c r="B263" t="s">
        <v>859</v>
      </c>
      <c r="C263" t="str">
        <f>IF((COUNTIFS(MappingEditor!$F:$F,$A263,MappingEditor!$G:$G,$B263,MappingEditor!$J:$J,"Y")+COUNTIFS(FallbackEditor!$G:$G,$A263,FallbackEditor!$H:$H,$B263,FallbackEditor!$J:$J,"Y"))&gt;0,"mapped","unmapped")</f>
        <v>unmapped</v>
      </c>
    </row>
    <row r="264" spans="1:3" x14ac:dyDescent="0.2">
      <c r="A264" t="s">
        <v>19</v>
      </c>
      <c r="B264" t="s">
        <v>33</v>
      </c>
      <c r="C264" t="str">
        <f>IF((COUNTIFS(MappingEditor!$F:$F,$A264,MappingEditor!$G:$G,$B264,MappingEditor!$J:$J,"Y")+COUNTIFS(FallbackEditor!$G:$G,$A264,FallbackEditor!$H:$H,$B264,FallbackEditor!$J:$J,"Y"))&gt;0,"mapped","unmapped")</f>
        <v>mapped</v>
      </c>
    </row>
    <row r="265" spans="1:3" x14ac:dyDescent="0.2">
      <c r="A265" t="s">
        <v>19</v>
      </c>
      <c r="B265" t="s">
        <v>860</v>
      </c>
      <c r="C265" t="str">
        <f>IF((COUNTIFS(MappingEditor!$F:$F,$A265,MappingEditor!$G:$G,$B265,MappingEditor!$J:$J,"Y")+COUNTIFS(FallbackEditor!$G:$G,$A265,FallbackEditor!$H:$H,$B265,FallbackEditor!$J:$J,"Y"))&gt;0,"mapped","unmapped")</f>
        <v>unmapped</v>
      </c>
    </row>
    <row r="266" spans="1:3" x14ac:dyDescent="0.2">
      <c r="A266" t="s">
        <v>19</v>
      </c>
      <c r="B266" t="s">
        <v>861</v>
      </c>
      <c r="C266" t="str">
        <f>IF((COUNTIFS(MappingEditor!$F:$F,$A266,MappingEditor!$G:$G,$B266,MappingEditor!$J:$J,"Y")+COUNTIFS(FallbackEditor!$G:$G,$A266,FallbackEditor!$H:$H,$B266,FallbackEditor!$J:$J,"Y"))&gt;0,"mapped","unmapped")</f>
        <v>unmapped</v>
      </c>
    </row>
    <row r="267" spans="1:3" x14ac:dyDescent="0.2">
      <c r="A267" t="s">
        <v>19</v>
      </c>
      <c r="B267" t="s">
        <v>132</v>
      </c>
      <c r="C267" t="str">
        <f>IF((COUNTIFS(MappingEditor!$F:$F,$A267,MappingEditor!$G:$G,$B267,MappingEditor!$J:$J,"Y")+COUNTIFS(FallbackEditor!$G:$G,$A267,FallbackEditor!$H:$H,$B267,FallbackEditor!$J:$J,"Y"))&gt;0,"mapped","unmapped")</f>
        <v>mapped</v>
      </c>
    </row>
    <row r="268" spans="1:3" x14ac:dyDescent="0.2">
      <c r="A268" t="s">
        <v>19</v>
      </c>
      <c r="B268" t="s">
        <v>862</v>
      </c>
      <c r="C268" t="str">
        <f>IF((COUNTIFS(MappingEditor!$F:$F,$A268,MappingEditor!$G:$G,$B268,MappingEditor!$J:$J,"Y")+COUNTIFS(FallbackEditor!$G:$G,$A268,FallbackEditor!$H:$H,$B268,FallbackEditor!$J:$J,"Y"))&gt;0,"mapped","unmapped")</f>
        <v>unmapped</v>
      </c>
    </row>
    <row r="269" spans="1:3" x14ac:dyDescent="0.2">
      <c r="A269" t="s">
        <v>19</v>
      </c>
      <c r="B269" t="s">
        <v>863</v>
      </c>
      <c r="C269" t="str">
        <f>IF((COUNTIFS(MappingEditor!$F:$F,$A269,MappingEditor!$G:$G,$B269,MappingEditor!$J:$J,"Y")+COUNTIFS(FallbackEditor!$G:$G,$A269,FallbackEditor!$H:$H,$B269,FallbackEditor!$J:$J,"Y"))&gt;0,"mapped","unmapped")</f>
        <v>unmapped</v>
      </c>
    </row>
    <row r="270" spans="1:3" x14ac:dyDescent="0.2">
      <c r="A270" t="s">
        <v>19</v>
      </c>
      <c r="B270" t="s">
        <v>864</v>
      </c>
      <c r="C270" t="str">
        <f>IF((COUNTIFS(MappingEditor!$F:$F,$A270,MappingEditor!$G:$G,$B270,MappingEditor!$J:$J,"Y")+COUNTIFS(FallbackEditor!$G:$G,$A270,FallbackEditor!$H:$H,$B270,FallbackEditor!$J:$J,"Y"))&gt;0,"mapped","unmapped")</f>
        <v>unmapped</v>
      </c>
    </row>
    <row r="271" spans="1:3" x14ac:dyDescent="0.2">
      <c r="A271" t="s">
        <v>19</v>
      </c>
      <c r="B271" t="s">
        <v>115</v>
      </c>
      <c r="C271" t="str">
        <f>IF((COUNTIFS(MappingEditor!$F:$F,$A271,MappingEditor!$G:$G,$B271,MappingEditor!$J:$J,"Y")+COUNTIFS(FallbackEditor!$G:$G,$A271,FallbackEditor!$H:$H,$B271,FallbackEditor!$J:$J,"Y"))&gt;0,"mapped","unmapped")</f>
        <v>mapped</v>
      </c>
    </row>
    <row r="272" spans="1:3" x14ac:dyDescent="0.2">
      <c r="A272" t="s">
        <v>19</v>
      </c>
      <c r="B272" t="s">
        <v>865</v>
      </c>
      <c r="C272" t="str">
        <f>IF((COUNTIFS(MappingEditor!$F:$F,$A272,MappingEditor!$G:$G,$B272,MappingEditor!$J:$J,"Y")+COUNTIFS(FallbackEditor!$G:$G,$A272,FallbackEditor!$H:$H,$B272,FallbackEditor!$J:$J,"Y"))&gt;0,"mapped","unmapped")</f>
        <v>unmapped</v>
      </c>
    </row>
    <row r="273" spans="1:3" x14ac:dyDescent="0.2">
      <c r="A273" t="s">
        <v>19</v>
      </c>
      <c r="B273" t="s">
        <v>866</v>
      </c>
      <c r="C273" t="str">
        <f>IF((COUNTIFS(MappingEditor!$F:$F,$A273,MappingEditor!$G:$G,$B273,MappingEditor!$J:$J,"Y")+COUNTIFS(FallbackEditor!$G:$G,$A273,FallbackEditor!$H:$H,$B273,FallbackEditor!$J:$J,"Y"))&gt;0,"mapped","unmapped")</f>
        <v>unmapped</v>
      </c>
    </row>
    <row r="274" spans="1:3" x14ac:dyDescent="0.2">
      <c r="A274" t="s">
        <v>19</v>
      </c>
      <c r="B274" t="s">
        <v>68</v>
      </c>
      <c r="C274" t="str">
        <f>IF((COUNTIFS(MappingEditor!$F:$F,$A274,MappingEditor!$G:$G,$B274,MappingEditor!$J:$J,"Y")+COUNTIFS(FallbackEditor!$G:$G,$A274,FallbackEditor!$H:$H,$B274,FallbackEditor!$J:$J,"Y"))&gt;0,"mapped","unmapped")</f>
        <v>mapped</v>
      </c>
    </row>
    <row r="275" spans="1:3" x14ac:dyDescent="0.2">
      <c r="A275" t="s">
        <v>19</v>
      </c>
      <c r="B275" t="s">
        <v>867</v>
      </c>
      <c r="C275" t="str">
        <f>IF((COUNTIFS(MappingEditor!$F:$F,$A275,MappingEditor!$G:$G,$B275,MappingEditor!$J:$J,"Y")+COUNTIFS(FallbackEditor!$G:$G,$A275,FallbackEditor!$H:$H,$B275,FallbackEditor!$J:$J,"Y"))&gt;0,"mapped","unmapped")</f>
        <v>unmapped</v>
      </c>
    </row>
    <row r="276" spans="1:3" x14ac:dyDescent="0.2">
      <c r="A276" t="s">
        <v>19</v>
      </c>
      <c r="B276" t="s">
        <v>868</v>
      </c>
      <c r="C276" t="str">
        <f>IF((COUNTIFS(MappingEditor!$F:$F,$A276,MappingEditor!$G:$G,$B276,MappingEditor!$J:$J,"Y")+COUNTIFS(FallbackEditor!$G:$G,$A276,FallbackEditor!$H:$H,$B276,FallbackEditor!$J:$J,"Y"))&gt;0,"mapped","unmapped")</f>
        <v>unmapped</v>
      </c>
    </row>
    <row r="277" spans="1:3" x14ac:dyDescent="0.2">
      <c r="A277" t="s">
        <v>19</v>
      </c>
      <c r="B277" t="s">
        <v>730</v>
      </c>
      <c r="C277" t="str">
        <f>IF((COUNTIFS(MappingEditor!$F:$F,$A277,MappingEditor!$G:$G,$B277,MappingEditor!$J:$J,"Y")+COUNTIFS(FallbackEditor!$G:$G,$A277,FallbackEditor!$H:$H,$B277,FallbackEditor!$J:$J,"Y"))&gt;0,"mapped","unmapped")</f>
        <v>unmapped</v>
      </c>
    </row>
    <row r="278" spans="1:3" x14ac:dyDescent="0.2">
      <c r="A278" t="s">
        <v>19</v>
      </c>
      <c r="B278" t="s">
        <v>869</v>
      </c>
      <c r="C278" t="str">
        <f>IF((COUNTIFS(MappingEditor!$F:$F,$A278,MappingEditor!$G:$G,$B278,MappingEditor!$J:$J,"Y")+COUNTIFS(FallbackEditor!$G:$G,$A278,FallbackEditor!$H:$H,$B278,FallbackEditor!$J:$J,"Y"))&gt;0,"mapped","unmapped")</f>
        <v>unmapped</v>
      </c>
    </row>
    <row r="279" spans="1:3" x14ac:dyDescent="0.2">
      <c r="A279" t="s">
        <v>19</v>
      </c>
      <c r="B279" t="s">
        <v>870</v>
      </c>
      <c r="C279" t="str">
        <f>IF((COUNTIFS(MappingEditor!$F:$F,$A279,MappingEditor!$G:$G,$B279,MappingEditor!$J:$J,"Y")+COUNTIFS(FallbackEditor!$G:$G,$A279,FallbackEditor!$H:$H,$B279,FallbackEditor!$J:$J,"Y"))&gt;0,"mapped","unmapped")</f>
        <v>unmapped</v>
      </c>
    </row>
    <row r="280" spans="1:3" x14ac:dyDescent="0.2">
      <c r="A280" t="s">
        <v>19</v>
      </c>
      <c r="B280" t="s">
        <v>231</v>
      </c>
      <c r="C280" t="str">
        <f>IF((COUNTIFS(MappingEditor!$F:$F,$A280,MappingEditor!$G:$G,$B280,MappingEditor!$J:$J,"Y")+COUNTIFS(FallbackEditor!$G:$G,$A280,FallbackEditor!$H:$H,$B280,FallbackEditor!$J:$J,"Y"))&gt;0,"mapped","unmapped")</f>
        <v>mapped</v>
      </c>
    </row>
    <row r="281" spans="1:3" x14ac:dyDescent="0.2">
      <c r="A281" t="s">
        <v>19</v>
      </c>
      <c r="B281" t="s">
        <v>311</v>
      </c>
      <c r="C281" t="str">
        <f>IF((COUNTIFS(MappingEditor!$F:$F,$A281,MappingEditor!$G:$G,$B281,MappingEditor!$J:$J,"Y")+COUNTIFS(FallbackEditor!$G:$G,$A281,FallbackEditor!$H:$H,$B281,FallbackEditor!$J:$J,"Y"))&gt;0,"mapped","unmapped")</f>
        <v>mapped</v>
      </c>
    </row>
    <row r="282" spans="1:3" x14ac:dyDescent="0.2">
      <c r="A282" t="s">
        <v>19</v>
      </c>
      <c r="B282" t="s">
        <v>871</v>
      </c>
      <c r="C282" t="str">
        <f>IF((COUNTIFS(MappingEditor!$F:$F,$A282,MappingEditor!$G:$G,$B282,MappingEditor!$J:$J,"Y")+COUNTIFS(FallbackEditor!$G:$G,$A282,FallbackEditor!$H:$H,$B282,FallbackEditor!$J:$J,"Y"))&gt;0,"mapped","unmapped")</f>
        <v>unmapped</v>
      </c>
    </row>
    <row r="283" spans="1:3" x14ac:dyDescent="0.2">
      <c r="A283" t="s">
        <v>19</v>
      </c>
      <c r="B283" t="s">
        <v>63</v>
      </c>
      <c r="C283" t="str">
        <f>IF((COUNTIFS(MappingEditor!$F:$F,$A283,MappingEditor!$G:$G,$B283,MappingEditor!$J:$J,"Y")+COUNTIFS(FallbackEditor!$G:$G,$A283,FallbackEditor!$H:$H,$B283,FallbackEditor!$J:$J,"Y"))&gt;0,"mapped","unmapped")</f>
        <v>mapped</v>
      </c>
    </row>
    <row r="284" spans="1:3" x14ac:dyDescent="0.2">
      <c r="A284" t="s">
        <v>19</v>
      </c>
      <c r="B284" t="s">
        <v>69</v>
      </c>
      <c r="C284" t="str">
        <f>IF((COUNTIFS(MappingEditor!$F:$F,$A284,MappingEditor!$G:$G,$B284,MappingEditor!$J:$J,"Y")+COUNTIFS(FallbackEditor!$G:$G,$A284,FallbackEditor!$H:$H,$B284,FallbackEditor!$J:$J,"Y"))&gt;0,"mapped","unmapped")</f>
        <v>mapped</v>
      </c>
    </row>
    <row r="285" spans="1:3" x14ac:dyDescent="0.2">
      <c r="A285" t="s">
        <v>19</v>
      </c>
      <c r="B285" t="s">
        <v>872</v>
      </c>
      <c r="C285" t="str">
        <f>IF((COUNTIFS(MappingEditor!$F:$F,$A285,MappingEditor!$G:$G,$B285,MappingEditor!$J:$J,"Y")+COUNTIFS(FallbackEditor!$G:$G,$A285,FallbackEditor!$H:$H,$B285,FallbackEditor!$J:$J,"Y"))&gt;0,"mapped","unmapped")</f>
        <v>unmapped</v>
      </c>
    </row>
    <row r="286" spans="1:3" x14ac:dyDescent="0.2">
      <c r="A286" t="s">
        <v>19</v>
      </c>
      <c r="B286" t="s">
        <v>873</v>
      </c>
      <c r="C286" t="str">
        <f>IF((COUNTIFS(MappingEditor!$F:$F,$A286,MappingEditor!$G:$G,$B286,MappingEditor!$J:$J,"Y")+COUNTIFS(FallbackEditor!$G:$G,$A286,FallbackEditor!$H:$H,$B286,FallbackEditor!$J:$J,"Y"))&gt;0,"mapped","unmapped")</f>
        <v>unmapped</v>
      </c>
    </row>
    <row r="287" spans="1:3" x14ac:dyDescent="0.2">
      <c r="A287" t="s">
        <v>19</v>
      </c>
      <c r="B287" t="s">
        <v>874</v>
      </c>
      <c r="C287" t="str">
        <f>IF((COUNTIFS(MappingEditor!$F:$F,$A287,MappingEditor!$G:$G,$B287,MappingEditor!$J:$J,"Y")+COUNTIFS(FallbackEditor!$G:$G,$A287,FallbackEditor!$H:$H,$B287,FallbackEditor!$J:$J,"Y"))&gt;0,"mapped","unmapped")</f>
        <v>unmapped</v>
      </c>
    </row>
    <row r="288" spans="1:3" x14ac:dyDescent="0.2">
      <c r="A288" t="s">
        <v>19</v>
      </c>
      <c r="B288" t="s">
        <v>875</v>
      </c>
      <c r="C288" t="str">
        <f>IF((COUNTIFS(MappingEditor!$F:$F,$A288,MappingEditor!$G:$G,$B288,MappingEditor!$J:$J,"Y")+COUNTIFS(FallbackEditor!$G:$G,$A288,FallbackEditor!$H:$H,$B288,FallbackEditor!$J:$J,"Y"))&gt;0,"mapped","unmapped")</f>
        <v>unmapped</v>
      </c>
    </row>
    <row r="289" spans="1:3" x14ac:dyDescent="0.2">
      <c r="A289" t="s">
        <v>19</v>
      </c>
      <c r="B289" t="s">
        <v>876</v>
      </c>
      <c r="C289" t="str">
        <f>IF((COUNTIFS(MappingEditor!$F:$F,$A289,MappingEditor!$G:$G,$B289,MappingEditor!$J:$J,"Y")+COUNTIFS(FallbackEditor!$G:$G,$A289,FallbackEditor!$H:$H,$B289,FallbackEditor!$J:$J,"Y"))&gt;0,"mapped","unmapped")</f>
        <v>unmapped</v>
      </c>
    </row>
    <row r="290" spans="1:3" x14ac:dyDescent="0.2">
      <c r="A290" t="s">
        <v>19</v>
      </c>
      <c r="B290" t="s">
        <v>877</v>
      </c>
      <c r="C290" t="str">
        <f>IF((COUNTIFS(MappingEditor!$F:$F,$A290,MappingEditor!$G:$G,$B290,MappingEditor!$J:$J,"Y")+COUNTIFS(FallbackEditor!$G:$G,$A290,FallbackEditor!$H:$H,$B290,FallbackEditor!$J:$J,"Y"))&gt;0,"mapped","unmapped")</f>
        <v>unmapped</v>
      </c>
    </row>
    <row r="291" spans="1:3" x14ac:dyDescent="0.2">
      <c r="A291" t="s">
        <v>19</v>
      </c>
      <c r="B291" t="s">
        <v>226</v>
      </c>
      <c r="C291" t="str">
        <f>IF((COUNTIFS(MappingEditor!$F:$F,$A291,MappingEditor!$G:$G,$B291,MappingEditor!$J:$J,"Y")+COUNTIFS(FallbackEditor!$G:$G,$A291,FallbackEditor!$H:$H,$B291,FallbackEditor!$J:$J,"Y"))&gt;0,"mapped","unmapped")</f>
        <v>mapped</v>
      </c>
    </row>
    <row r="292" spans="1:3" x14ac:dyDescent="0.2">
      <c r="A292" t="s">
        <v>19</v>
      </c>
      <c r="B292" t="s">
        <v>878</v>
      </c>
      <c r="C292" t="str">
        <f>IF((COUNTIFS(MappingEditor!$F:$F,$A292,MappingEditor!$G:$G,$B292,MappingEditor!$J:$J,"Y")+COUNTIFS(FallbackEditor!$G:$G,$A292,FallbackEditor!$H:$H,$B292,FallbackEditor!$J:$J,"Y"))&gt;0,"mapped","unmapped")</f>
        <v>unmapped</v>
      </c>
    </row>
    <row r="293" spans="1:3" x14ac:dyDescent="0.2">
      <c r="A293" t="s">
        <v>19</v>
      </c>
      <c r="B293" t="s">
        <v>879</v>
      </c>
      <c r="C293" t="str">
        <f>IF((COUNTIFS(MappingEditor!$F:$F,$A293,MappingEditor!$G:$G,$B293,MappingEditor!$J:$J,"Y")+COUNTIFS(FallbackEditor!$G:$G,$A293,FallbackEditor!$H:$H,$B293,FallbackEditor!$J:$J,"Y"))&gt;0,"mapped","unmapped")</f>
        <v>unmapped</v>
      </c>
    </row>
    <row r="294" spans="1:3" x14ac:dyDescent="0.2">
      <c r="A294" t="s">
        <v>19</v>
      </c>
      <c r="B294" t="s">
        <v>880</v>
      </c>
      <c r="C294" t="str">
        <f>IF((COUNTIFS(MappingEditor!$F:$F,$A294,MappingEditor!$G:$G,$B294,MappingEditor!$J:$J,"Y")+COUNTIFS(FallbackEditor!$G:$G,$A294,FallbackEditor!$H:$H,$B294,FallbackEditor!$J:$J,"Y"))&gt;0,"mapped","unmapped")</f>
        <v>unmapped</v>
      </c>
    </row>
    <row r="295" spans="1:3" x14ac:dyDescent="0.2">
      <c r="A295" t="s">
        <v>19</v>
      </c>
      <c r="B295" t="s">
        <v>881</v>
      </c>
      <c r="C295" t="str">
        <f>IF((COUNTIFS(MappingEditor!$F:$F,$A295,MappingEditor!$G:$G,$B295,MappingEditor!$J:$J,"Y")+COUNTIFS(FallbackEditor!$G:$G,$A295,FallbackEditor!$H:$H,$B295,FallbackEditor!$J:$J,"Y"))&gt;0,"mapped","unmapped")</f>
        <v>unmapped</v>
      </c>
    </row>
    <row r="296" spans="1:3" x14ac:dyDescent="0.2">
      <c r="A296" t="s">
        <v>19</v>
      </c>
      <c r="B296" t="s">
        <v>882</v>
      </c>
      <c r="C296" t="str">
        <f>IF((COUNTIFS(MappingEditor!$F:$F,$A296,MappingEditor!$G:$G,$B296,MappingEditor!$J:$J,"Y")+COUNTIFS(FallbackEditor!$G:$G,$A296,FallbackEditor!$H:$H,$B296,FallbackEditor!$J:$J,"Y"))&gt;0,"mapped","unmapped")</f>
        <v>unmapped</v>
      </c>
    </row>
    <row r="297" spans="1:3" x14ac:dyDescent="0.2">
      <c r="A297" t="s">
        <v>19</v>
      </c>
      <c r="B297" t="s">
        <v>883</v>
      </c>
      <c r="C297" t="str">
        <f>IF((COUNTIFS(MappingEditor!$F:$F,$A297,MappingEditor!$G:$G,$B297,MappingEditor!$J:$J,"Y")+COUNTIFS(FallbackEditor!$G:$G,$A297,FallbackEditor!$H:$H,$B297,FallbackEditor!$J:$J,"Y"))&gt;0,"mapped","unmapped")</f>
        <v>unmapped</v>
      </c>
    </row>
    <row r="298" spans="1:3" x14ac:dyDescent="0.2">
      <c r="A298" t="s">
        <v>19</v>
      </c>
      <c r="B298" t="s">
        <v>296</v>
      </c>
      <c r="C298" t="str">
        <f>IF((COUNTIFS(MappingEditor!$F:$F,$A298,MappingEditor!$G:$G,$B298,MappingEditor!$J:$J,"Y")+COUNTIFS(FallbackEditor!$G:$G,$A298,FallbackEditor!$H:$H,$B298,FallbackEditor!$J:$J,"Y"))&gt;0,"mapped","unmapped")</f>
        <v>mapped</v>
      </c>
    </row>
    <row r="299" spans="1:3" x14ac:dyDescent="0.2">
      <c r="A299" t="s">
        <v>19</v>
      </c>
      <c r="B299" t="s">
        <v>884</v>
      </c>
      <c r="C299" t="str">
        <f>IF((COUNTIFS(MappingEditor!$F:$F,$A299,MappingEditor!$G:$G,$B299,MappingEditor!$J:$J,"Y")+COUNTIFS(FallbackEditor!$G:$G,$A299,FallbackEditor!$H:$H,$B299,FallbackEditor!$J:$J,"Y"))&gt;0,"mapped","unmapped")</f>
        <v>unmapped</v>
      </c>
    </row>
    <row r="300" spans="1:3" x14ac:dyDescent="0.2">
      <c r="A300" t="s">
        <v>19</v>
      </c>
      <c r="B300" t="s">
        <v>885</v>
      </c>
      <c r="C300" t="str">
        <f>IF((COUNTIFS(MappingEditor!$F:$F,$A300,MappingEditor!$G:$G,$B300,MappingEditor!$J:$J,"Y")+COUNTIFS(FallbackEditor!$G:$G,$A300,FallbackEditor!$H:$H,$B300,FallbackEditor!$J:$J,"Y"))&gt;0,"mapped","unmapped")</f>
        <v>unmapped</v>
      </c>
    </row>
    <row r="301" spans="1:3" x14ac:dyDescent="0.2">
      <c r="A301" t="s">
        <v>19</v>
      </c>
      <c r="B301" t="s">
        <v>246</v>
      </c>
      <c r="C301" t="str">
        <f>IF((COUNTIFS(MappingEditor!$F:$F,$A301,MappingEditor!$G:$G,$B301,MappingEditor!$J:$J,"Y")+COUNTIFS(FallbackEditor!$G:$G,$A301,FallbackEditor!$H:$H,$B301,FallbackEditor!$J:$J,"Y"))&gt;0,"mapped","unmapped")</f>
        <v>mapped</v>
      </c>
    </row>
    <row r="302" spans="1:3" x14ac:dyDescent="0.2">
      <c r="A302" t="s">
        <v>19</v>
      </c>
      <c r="B302" t="s">
        <v>886</v>
      </c>
      <c r="C302" t="str">
        <f>IF((COUNTIFS(MappingEditor!$F:$F,$A302,MappingEditor!$G:$G,$B302,MappingEditor!$J:$J,"Y")+COUNTIFS(FallbackEditor!$G:$G,$A302,FallbackEditor!$H:$H,$B302,FallbackEditor!$J:$J,"Y"))&gt;0,"mapped","unmapped")</f>
        <v>unmapped</v>
      </c>
    </row>
    <row r="303" spans="1:3" x14ac:dyDescent="0.2">
      <c r="A303" t="s">
        <v>19</v>
      </c>
      <c r="B303" t="s">
        <v>887</v>
      </c>
      <c r="C303" t="str">
        <f>IF((COUNTIFS(MappingEditor!$F:$F,$A303,MappingEditor!$G:$G,$B303,MappingEditor!$J:$J,"Y")+COUNTIFS(FallbackEditor!$G:$G,$A303,FallbackEditor!$H:$H,$B303,FallbackEditor!$J:$J,"Y"))&gt;0,"mapped","unmapped")</f>
        <v>unmapped</v>
      </c>
    </row>
    <row r="304" spans="1:3" x14ac:dyDescent="0.2">
      <c r="A304" t="s">
        <v>19</v>
      </c>
      <c r="B304" t="s">
        <v>212</v>
      </c>
      <c r="C304" t="str">
        <f>IF((COUNTIFS(MappingEditor!$F:$F,$A304,MappingEditor!$G:$G,$B304,MappingEditor!$J:$J,"Y")+COUNTIFS(FallbackEditor!$G:$G,$A304,FallbackEditor!$H:$H,$B304,FallbackEditor!$J:$J,"Y"))&gt;0,"mapped","unmapped")</f>
        <v>mapped</v>
      </c>
    </row>
    <row r="305" spans="1:3" x14ac:dyDescent="0.2">
      <c r="A305" t="s">
        <v>19</v>
      </c>
      <c r="B305" t="s">
        <v>888</v>
      </c>
      <c r="C305" t="str">
        <f>IF((COUNTIFS(MappingEditor!$F:$F,$A305,MappingEditor!$G:$G,$B305,MappingEditor!$J:$J,"Y")+COUNTIFS(FallbackEditor!$G:$G,$A305,FallbackEditor!$H:$H,$B305,FallbackEditor!$J:$J,"Y"))&gt;0,"mapped","unmapped")</f>
        <v>unmapped</v>
      </c>
    </row>
    <row r="306" spans="1:3" x14ac:dyDescent="0.2">
      <c r="A306" t="s">
        <v>19</v>
      </c>
      <c r="B306" t="s">
        <v>889</v>
      </c>
      <c r="C306" t="str">
        <f>IF((COUNTIFS(MappingEditor!$F:$F,$A306,MappingEditor!$G:$G,$B306,MappingEditor!$J:$J,"Y")+COUNTIFS(FallbackEditor!$G:$G,$A306,FallbackEditor!$H:$H,$B306,FallbackEditor!$J:$J,"Y"))&gt;0,"mapped","unmapped")</f>
        <v>unmapped</v>
      </c>
    </row>
    <row r="307" spans="1:3" x14ac:dyDescent="0.2">
      <c r="A307" t="s">
        <v>19</v>
      </c>
      <c r="B307" t="s">
        <v>890</v>
      </c>
      <c r="C307" t="str">
        <f>IF((COUNTIFS(MappingEditor!$F:$F,$A307,MappingEditor!$G:$G,$B307,MappingEditor!$J:$J,"Y")+COUNTIFS(FallbackEditor!$G:$G,$A307,FallbackEditor!$H:$H,$B307,FallbackEditor!$J:$J,"Y"))&gt;0,"mapped","unmapped")</f>
        <v>unmapped</v>
      </c>
    </row>
    <row r="308" spans="1:3" x14ac:dyDescent="0.2">
      <c r="A308" t="s">
        <v>19</v>
      </c>
      <c r="B308" t="s">
        <v>891</v>
      </c>
      <c r="C308" t="str">
        <f>IF((COUNTIFS(MappingEditor!$F:$F,$A308,MappingEditor!$G:$G,$B308,MappingEditor!$J:$J,"Y")+COUNTIFS(FallbackEditor!$G:$G,$A308,FallbackEditor!$H:$H,$B308,FallbackEditor!$J:$J,"Y"))&gt;0,"mapped","unmapped")</f>
        <v>unmapped</v>
      </c>
    </row>
    <row r="309" spans="1:3" x14ac:dyDescent="0.2">
      <c r="A309" t="s">
        <v>19</v>
      </c>
      <c r="B309" t="s">
        <v>892</v>
      </c>
      <c r="C309" t="str">
        <f>IF((COUNTIFS(MappingEditor!$F:$F,$A309,MappingEditor!$G:$G,$B309,MappingEditor!$J:$J,"Y")+COUNTIFS(FallbackEditor!$G:$G,$A309,FallbackEditor!$H:$H,$B309,FallbackEditor!$J:$J,"Y"))&gt;0,"mapped","unmapped")</f>
        <v>unmapped</v>
      </c>
    </row>
    <row r="310" spans="1:3" x14ac:dyDescent="0.2">
      <c r="A310" t="s">
        <v>19</v>
      </c>
      <c r="B310" t="s">
        <v>893</v>
      </c>
      <c r="C310" t="str">
        <f>IF((COUNTIFS(MappingEditor!$F:$F,$A310,MappingEditor!$G:$G,$B310,MappingEditor!$J:$J,"Y")+COUNTIFS(FallbackEditor!$G:$G,$A310,FallbackEditor!$H:$H,$B310,FallbackEditor!$J:$J,"Y"))&gt;0,"mapped","unmapped")</f>
        <v>unmapped</v>
      </c>
    </row>
    <row r="311" spans="1:3" x14ac:dyDescent="0.2">
      <c r="A311" t="s">
        <v>19</v>
      </c>
      <c r="B311" t="s">
        <v>894</v>
      </c>
      <c r="C311" t="str">
        <f>IF((COUNTIFS(MappingEditor!$F:$F,$A311,MappingEditor!$G:$G,$B311,MappingEditor!$J:$J,"Y")+COUNTIFS(FallbackEditor!$G:$G,$A311,FallbackEditor!$H:$H,$B311,FallbackEditor!$J:$J,"Y"))&gt;0,"mapped","unmapped")</f>
        <v>unmapped</v>
      </c>
    </row>
    <row r="312" spans="1:3" x14ac:dyDescent="0.2">
      <c r="A312" t="s">
        <v>19</v>
      </c>
      <c r="B312" t="s">
        <v>895</v>
      </c>
      <c r="C312" t="str">
        <f>IF((COUNTIFS(MappingEditor!$F:$F,$A312,MappingEditor!$G:$G,$B312,MappingEditor!$J:$J,"Y")+COUNTIFS(FallbackEditor!$G:$G,$A312,FallbackEditor!$H:$H,$B312,FallbackEditor!$J:$J,"Y"))&gt;0,"mapped","unmapped")</f>
        <v>unmapped</v>
      </c>
    </row>
    <row r="313" spans="1:3" x14ac:dyDescent="0.2">
      <c r="A313" t="s">
        <v>19</v>
      </c>
      <c r="B313" t="s">
        <v>896</v>
      </c>
      <c r="C313" t="str">
        <f>IF((COUNTIFS(MappingEditor!$F:$F,$A313,MappingEditor!$G:$G,$B313,MappingEditor!$J:$J,"Y")+COUNTIFS(FallbackEditor!$G:$G,$A313,FallbackEditor!$H:$H,$B313,FallbackEditor!$J:$J,"Y"))&gt;0,"mapped","unmapped")</f>
        <v>unmapped</v>
      </c>
    </row>
    <row r="314" spans="1:3" x14ac:dyDescent="0.2">
      <c r="A314" t="s">
        <v>19</v>
      </c>
      <c r="B314" t="s">
        <v>897</v>
      </c>
      <c r="C314" t="str">
        <f>IF((COUNTIFS(MappingEditor!$F:$F,$A314,MappingEditor!$G:$G,$B314,MappingEditor!$J:$J,"Y")+COUNTIFS(FallbackEditor!$G:$G,$A314,FallbackEditor!$H:$H,$B314,FallbackEditor!$J:$J,"Y"))&gt;0,"mapped","unmapped")</f>
        <v>unmapped</v>
      </c>
    </row>
    <row r="315" spans="1:3" x14ac:dyDescent="0.2">
      <c r="A315" t="s">
        <v>19</v>
      </c>
      <c r="B315" t="s">
        <v>898</v>
      </c>
      <c r="C315" t="str">
        <f>IF((COUNTIFS(MappingEditor!$F:$F,$A315,MappingEditor!$G:$G,$B315,MappingEditor!$J:$J,"Y")+COUNTIFS(FallbackEditor!$G:$G,$A315,FallbackEditor!$H:$H,$B315,FallbackEditor!$J:$J,"Y"))&gt;0,"mapped","unmapped")</f>
        <v>unmapped</v>
      </c>
    </row>
    <row r="316" spans="1:3" x14ac:dyDescent="0.2">
      <c r="A316" t="s">
        <v>19</v>
      </c>
      <c r="B316" t="s">
        <v>136</v>
      </c>
      <c r="C316" t="str">
        <f>IF((COUNTIFS(MappingEditor!$F:$F,$A316,MappingEditor!$G:$G,$B316,MappingEditor!$J:$J,"Y")+COUNTIFS(FallbackEditor!$G:$G,$A316,FallbackEditor!$H:$H,$B316,FallbackEditor!$J:$J,"Y"))&gt;0,"mapped","unmapped")</f>
        <v>mapped</v>
      </c>
    </row>
    <row r="317" spans="1:3" x14ac:dyDescent="0.2">
      <c r="A317" t="s">
        <v>19</v>
      </c>
      <c r="B317" t="s">
        <v>899</v>
      </c>
      <c r="C317" t="str">
        <f>IF((COUNTIFS(MappingEditor!$F:$F,$A317,MappingEditor!$G:$G,$B317,MappingEditor!$J:$J,"Y")+COUNTIFS(FallbackEditor!$G:$G,$A317,FallbackEditor!$H:$H,$B317,FallbackEditor!$J:$J,"Y"))&gt;0,"mapped","unmapped")</f>
        <v>unmapped</v>
      </c>
    </row>
    <row r="318" spans="1:3" x14ac:dyDescent="0.2">
      <c r="A318" t="s">
        <v>19</v>
      </c>
      <c r="B318" t="s">
        <v>900</v>
      </c>
      <c r="C318" t="str">
        <f>IF((COUNTIFS(MappingEditor!$F:$F,$A318,MappingEditor!$G:$G,$B318,MappingEditor!$J:$J,"Y")+COUNTIFS(FallbackEditor!$G:$G,$A318,FallbackEditor!$H:$H,$B318,FallbackEditor!$J:$J,"Y"))&gt;0,"mapped","unmapped")</f>
        <v>unmapped</v>
      </c>
    </row>
    <row r="319" spans="1:3" x14ac:dyDescent="0.2">
      <c r="A319" t="s">
        <v>19</v>
      </c>
      <c r="B319" t="s">
        <v>273</v>
      </c>
      <c r="C319" t="str">
        <f>IF((COUNTIFS(MappingEditor!$F:$F,$A319,MappingEditor!$G:$G,$B319,MappingEditor!$J:$J,"Y")+COUNTIFS(FallbackEditor!$G:$G,$A319,FallbackEditor!$H:$H,$B319,FallbackEditor!$J:$J,"Y"))&gt;0,"mapped","unmapped")</f>
        <v>mapped</v>
      </c>
    </row>
    <row r="320" spans="1:3" x14ac:dyDescent="0.2">
      <c r="A320" t="s">
        <v>19</v>
      </c>
      <c r="B320" t="s">
        <v>901</v>
      </c>
      <c r="C320" t="str">
        <f>IF((COUNTIFS(MappingEditor!$F:$F,$A320,MappingEditor!$G:$G,$B320,MappingEditor!$J:$J,"Y")+COUNTIFS(FallbackEditor!$G:$G,$A320,FallbackEditor!$H:$H,$B320,FallbackEditor!$J:$J,"Y"))&gt;0,"mapped","unmapped")</f>
        <v>unmapped</v>
      </c>
    </row>
    <row r="321" spans="1:3" x14ac:dyDescent="0.2">
      <c r="A321" t="s">
        <v>19</v>
      </c>
      <c r="B321" t="s">
        <v>902</v>
      </c>
      <c r="C321" t="str">
        <f>IF((COUNTIFS(MappingEditor!$F:$F,$A321,MappingEditor!$G:$G,$B321,MappingEditor!$J:$J,"Y")+COUNTIFS(FallbackEditor!$G:$G,$A321,FallbackEditor!$H:$H,$B321,FallbackEditor!$J:$J,"Y"))&gt;0,"mapped","unmapped")</f>
        <v>unmapped</v>
      </c>
    </row>
    <row r="322" spans="1:3" x14ac:dyDescent="0.2">
      <c r="A322" t="s">
        <v>19</v>
      </c>
      <c r="B322" t="s">
        <v>239</v>
      </c>
      <c r="C322" t="str">
        <f>IF((COUNTIFS(MappingEditor!$F:$F,$A322,MappingEditor!$G:$G,$B322,MappingEditor!$J:$J,"Y")+COUNTIFS(FallbackEditor!$G:$G,$A322,FallbackEditor!$H:$H,$B322,FallbackEditor!$J:$J,"Y"))&gt;0,"mapped","unmapped")</f>
        <v>mapped</v>
      </c>
    </row>
    <row r="323" spans="1:3" x14ac:dyDescent="0.2">
      <c r="A323" t="s">
        <v>19</v>
      </c>
      <c r="B323" t="s">
        <v>903</v>
      </c>
      <c r="C323" t="str">
        <f>IF((COUNTIFS(MappingEditor!$F:$F,$A323,MappingEditor!$G:$G,$B323,MappingEditor!$J:$J,"Y")+COUNTIFS(FallbackEditor!$G:$G,$A323,FallbackEditor!$H:$H,$B323,FallbackEditor!$J:$J,"Y"))&gt;0,"mapped","unmapped")</f>
        <v>unmapped</v>
      </c>
    </row>
    <row r="324" spans="1:3" x14ac:dyDescent="0.2">
      <c r="A324" t="s">
        <v>19</v>
      </c>
      <c r="B324" t="s">
        <v>904</v>
      </c>
      <c r="C324" t="str">
        <f>IF((COUNTIFS(MappingEditor!$F:$F,$A324,MappingEditor!$G:$G,$B324,MappingEditor!$J:$J,"Y")+COUNTIFS(FallbackEditor!$G:$G,$A324,FallbackEditor!$H:$H,$B324,FallbackEditor!$J:$J,"Y"))&gt;0,"mapped","unmapped")</f>
        <v>unmapped</v>
      </c>
    </row>
    <row r="325" spans="1:3" x14ac:dyDescent="0.2">
      <c r="A325" t="s">
        <v>19</v>
      </c>
      <c r="B325" t="s">
        <v>905</v>
      </c>
      <c r="C325" t="str">
        <f>IF((COUNTIFS(MappingEditor!$F:$F,$A325,MappingEditor!$G:$G,$B325,MappingEditor!$J:$J,"Y")+COUNTIFS(FallbackEditor!$G:$G,$A325,FallbackEditor!$H:$H,$B325,FallbackEditor!$J:$J,"Y"))&gt;0,"mapped","unmapped")</f>
        <v>unmapped</v>
      </c>
    </row>
    <row r="326" spans="1:3" x14ac:dyDescent="0.2">
      <c r="A326" t="s">
        <v>19</v>
      </c>
      <c r="B326" t="s">
        <v>906</v>
      </c>
      <c r="C326" t="str">
        <f>IF((COUNTIFS(MappingEditor!$F:$F,$A326,MappingEditor!$G:$G,$B326,MappingEditor!$J:$J,"Y")+COUNTIFS(FallbackEditor!$G:$G,$A326,FallbackEditor!$H:$H,$B326,FallbackEditor!$J:$J,"Y"))&gt;0,"mapped","unmapped")</f>
        <v>unmapped</v>
      </c>
    </row>
    <row r="327" spans="1:3" x14ac:dyDescent="0.2">
      <c r="A327" t="s">
        <v>224</v>
      </c>
      <c r="B327" t="s">
        <v>726</v>
      </c>
      <c r="C327" t="str">
        <f>IF((COUNTIFS(MappingEditor!$F:$F,$A327,MappingEditor!$G:$G,$B327,MappingEditor!$J:$J,"Y")+COUNTIFS(FallbackEditor!$G:$G,$A327,FallbackEditor!$H:$H,$B327,FallbackEditor!$J:$J,"Y"))&gt;0,"mapped","unmapped")</f>
        <v>unmapped</v>
      </c>
    </row>
    <row r="328" spans="1:3" x14ac:dyDescent="0.2">
      <c r="A328" t="s">
        <v>224</v>
      </c>
      <c r="B328" t="s">
        <v>236</v>
      </c>
      <c r="C328" t="str">
        <f>IF((COUNTIFS(MappingEditor!$F:$F,$A328,MappingEditor!$G:$G,$B328,MappingEditor!$J:$J,"Y")+COUNTIFS(FallbackEditor!$G:$G,$A328,FallbackEditor!$H:$H,$B328,FallbackEditor!$J:$J,"Y"))&gt;0,"mapped","unmapped")</f>
        <v>mapped</v>
      </c>
    </row>
    <row r="329" spans="1:3" x14ac:dyDescent="0.2">
      <c r="A329" t="s">
        <v>224</v>
      </c>
      <c r="B329" t="s">
        <v>275</v>
      </c>
      <c r="C329" t="str">
        <f>IF((COUNTIFS(MappingEditor!$F:$F,$A329,MappingEditor!$G:$G,$B329,MappingEditor!$J:$J,"Y")+COUNTIFS(FallbackEditor!$G:$G,$A329,FallbackEditor!$H:$H,$B329,FallbackEditor!$J:$J,"Y"))&gt;0,"mapped","unmapped")</f>
        <v>mapped</v>
      </c>
    </row>
    <row r="330" spans="1:3" x14ac:dyDescent="0.2">
      <c r="A330" t="s">
        <v>224</v>
      </c>
      <c r="B330" t="s">
        <v>907</v>
      </c>
      <c r="C330" t="str">
        <f>IF((COUNTIFS(MappingEditor!$F:$F,$A330,MappingEditor!$G:$G,$B330,MappingEditor!$J:$J,"Y")+COUNTIFS(FallbackEditor!$G:$G,$A330,FallbackEditor!$H:$H,$B330,FallbackEditor!$J:$J,"Y"))&gt;0,"mapped","unmapped")</f>
        <v>unmapped</v>
      </c>
    </row>
    <row r="331" spans="1:3" x14ac:dyDescent="0.2">
      <c r="A331" t="s">
        <v>224</v>
      </c>
      <c r="B331" t="s">
        <v>908</v>
      </c>
      <c r="C331" t="str">
        <f>IF((COUNTIFS(MappingEditor!$F:$F,$A331,MappingEditor!$G:$G,$B331,MappingEditor!$J:$J,"Y")+COUNTIFS(FallbackEditor!$G:$G,$A331,FallbackEditor!$H:$H,$B331,FallbackEditor!$J:$J,"Y"))&gt;0,"mapped","unmapped")</f>
        <v>unmapped</v>
      </c>
    </row>
    <row r="332" spans="1:3" x14ac:dyDescent="0.2">
      <c r="A332" t="s">
        <v>224</v>
      </c>
      <c r="B332" t="s">
        <v>909</v>
      </c>
      <c r="C332" t="str">
        <f>IF((COUNTIFS(MappingEditor!$F:$F,$A332,MappingEditor!$G:$G,$B332,MappingEditor!$J:$J,"Y")+COUNTIFS(FallbackEditor!$G:$G,$A332,FallbackEditor!$H:$H,$B332,FallbackEditor!$J:$J,"Y"))&gt;0,"mapped","unmapped")</f>
        <v>unmapped</v>
      </c>
    </row>
    <row r="333" spans="1:3" x14ac:dyDescent="0.2">
      <c r="A333" t="s">
        <v>224</v>
      </c>
      <c r="B333" t="s">
        <v>225</v>
      </c>
      <c r="C333" t="str">
        <f>IF((COUNTIFS(MappingEditor!$F:$F,$A333,MappingEditor!$G:$G,$B333,MappingEditor!$J:$J,"Y")+COUNTIFS(FallbackEditor!$G:$G,$A333,FallbackEditor!$H:$H,$B333,FallbackEditor!$J:$J,"Y"))&gt;0,"mapped","unmapped")</f>
        <v>mapped</v>
      </c>
    </row>
    <row r="334" spans="1:3" x14ac:dyDescent="0.2">
      <c r="A334" t="s">
        <v>224</v>
      </c>
      <c r="B334" t="s">
        <v>895</v>
      </c>
      <c r="C334" t="str">
        <f>IF((COUNTIFS(MappingEditor!$F:$F,$A334,MappingEditor!$G:$G,$B334,MappingEditor!$J:$J,"Y")+COUNTIFS(FallbackEditor!$G:$G,$A334,FallbackEditor!$H:$H,$B334,FallbackEditor!$J:$J,"Y"))&gt;0,"mapped","unmapped")</f>
        <v>unmapped</v>
      </c>
    </row>
    <row r="335" spans="1:3" x14ac:dyDescent="0.2">
      <c r="A335" t="s">
        <v>224</v>
      </c>
      <c r="B335" t="s">
        <v>241</v>
      </c>
      <c r="C335" t="str">
        <f>IF((COUNTIFS(MappingEditor!$F:$F,$A335,MappingEditor!$G:$G,$B335,MappingEditor!$J:$J,"Y")+COUNTIFS(FallbackEditor!$G:$G,$A335,FallbackEditor!$H:$H,$B335,FallbackEditor!$J:$J,"Y"))&gt;0,"mapped","unmapped")</f>
        <v>mapped</v>
      </c>
    </row>
    <row r="336" spans="1:3" x14ac:dyDescent="0.2">
      <c r="A336" t="s">
        <v>347</v>
      </c>
      <c r="B336" t="s">
        <v>351</v>
      </c>
      <c r="C336" t="str">
        <f>IF((COUNTIFS(MappingEditor!$F:$F,$A336,MappingEditor!$G:$G,$B336,MappingEditor!$J:$J,"Y")+COUNTIFS(FallbackEditor!$G:$G,$A336,FallbackEditor!$H:$H,$B336,FallbackEditor!$J:$J,"Y"))&gt;0,"mapped","unmapped")</f>
        <v>mapped</v>
      </c>
    </row>
    <row r="337" spans="1:3" x14ac:dyDescent="0.2">
      <c r="A337" t="s">
        <v>347</v>
      </c>
      <c r="B337" t="s">
        <v>726</v>
      </c>
      <c r="C337" t="str">
        <f>IF((COUNTIFS(MappingEditor!$F:$F,$A337,MappingEditor!$G:$G,$B337,MappingEditor!$J:$J,"Y")+COUNTIFS(FallbackEditor!$G:$G,$A337,FallbackEditor!$H:$H,$B337,FallbackEditor!$J:$J,"Y"))&gt;0,"mapped","unmapped")</f>
        <v>unmapped</v>
      </c>
    </row>
    <row r="338" spans="1:3" x14ac:dyDescent="0.2">
      <c r="A338" t="s">
        <v>347</v>
      </c>
      <c r="B338" t="s">
        <v>910</v>
      </c>
      <c r="C338" t="str">
        <f>IF((COUNTIFS(MappingEditor!$F:$F,$A338,MappingEditor!$G:$G,$B338,MappingEditor!$J:$J,"Y")+COUNTIFS(FallbackEditor!$G:$G,$A338,FallbackEditor!$H:$H,$B338,FallbackEditor!$J:$J,"Y"))&gt;0,"mapped","unmapped")</f>
        <v>unmapped</v>
      </c>
    </row>
    <row r="339" spans="1:3" x14ac:dyDescent="0.2">
      <c r="A339" t="s">
        <v>347</v>
      </c>
      <c r="B339" t="s">
        <v>911</v>
      </c>
      <c r="C339" t="str">
        <f>IF((COUNTIFS(MappingEditor!$F:$F,$A339,MappingEditor!$G:$G,$B339,MappingEditor!$J:$J,"Y")+COUNTIFS(FallbackEditor!$G:$G,$A339,FallbackEditor!$H:$H,$B339,FallbackEditor!$J:$J,"Y"))&gt;0,"mapped","unmapped")</f>
        <v>unmapped</v>
      </c>
    </row>
    <row r="340" spans="1:3" x14ac:dyDescent="0.2">
      <c r="A340" t="s">
        <v>347</v>
      </c>
      <c r="B340" t="s">
        <v>912</v>
      </c>
      <c r="C340" t="str">
        <f>IF((COUNTIFS(MappingEditor!$F:$F,$A340,MappingEditor!$G:$G,$B340,MappingEditor!$J:$J,"Y")+COUNTIFS(FallbackEditor!$G:$G,$A340,FallbackEditor!$H:$H,$B340,FallbackEditor!$J:$J,"Y"))&gt;0,"mapped","unmapped")</f>
        <v>unmapped</v>
      </c>
    </row>
    <row r="341" spans="1:3" x14ac:dyDescent="0.2">
      <c r="A341" t="s">
        <v>347</v>
      </c>
      <c r="B341" t="s">
        <v>729</v>
      </c>
      <c r="C341" t="str">
        <f>IF((COUNTIFS(MappingEditor!$F:$F,$A341,MappingEditor!$G:$G,$B341,MappingEditor!$J:$J,"Y")+COUNTIFS(FallbackEditor!$G:$G,$A341,FallbackEditor!$H:$H,$B341,FallbackEditor!$J:$J,"Y"))&gt;0,"mapped","unmapped")</f>
        <v>unmapped</v>
      </c>
    </row>
    <row r="342" spans="1:3" x14ac:dyDescent="0.2">
      <c r="A342" t="s">
        <v>347</v>
      </c>
      <c r="B342" t="s">
        <v>913</v>
      </c>
      <c r="C342" t="str">
        <f>IF((COUNTIFS(MappingEditor!$F:$F,$A342,MappingEditor!$G:$G,$B342,MappingEditor!$J:$J,"Y")+COUNTIFS(FallbackEditor!$G:$G,$A342,FallbackEditor!$H:$H,$B342,FallbackEditor!$J:$J,"Y"))&gt;0,"mapped","unmapped")</f>
        <v>unmapped</v>
      </c>
    </row>
    <row r="343" spans="1:3" x14ac:dyDescent="0.2">
      <c r="A343" t="s">
        <v>347</v>
      </c>
      <c r="B343" t="s">
        <v>353</v>
      </c>
      <c r="C343" t="str">
        <f>IF((COUNTIFS(MappingEditor!$F:$F,$A343,MappingEditor!$G:$G,$B343,MappingEditor!$J:$J,"Y")+COUNTIFS(FallbackEditor!$G:$G,$A343,FallbackEditor!$H:$H,$B343,FallbackEditor!$J:$J,"Y"))&gt;0,"mapped","unmapped")</f>
        <v>mapped</v>
      </c>
    </row>
    <row r="344" spans="1:3" x14ac:dyDescent="0.2">
      <c r="A344" t="s">
        <v>347</v>
      </c>
      <c r="B344" t="s">
        <v>914</v>
      </c>
      <c r="C344" t="str">
        <f>IF((COUNTIFS(MappingEditor!$F:$F,$A344,MappingEditor!$G:$G,$B344,MappingEditor!$J:$J,"Y")+COUNTIFS(FallbackEditor!$G:$G,$A344,FallbackEditor!$H:$H,$B344,FallbackEditor!$J:$J,"Y"))&gt;0,"mapped","unmapped")</f>
        <v>unmapped</v>
      </c>
    </row>
    <row r="345" spans="1:3" x14ac:dyDescent="0.2">
      <c r="A345" t="s">
        <v>347</v>
      </c>
      <c r="B345" t="s">
        <v>915</v>
      </c>
      <c r="C345" t="str">
        <f>IF((COUNTIFS(MappingEditor!$F:$F,$A345,MappingEditor!$G:$G,$B345,MappingEditor!$J:$J,"Y")+COUNTIFS(FallbackEditor!$G:$G,$A345,FallbackEditor!$H:$H,$B345,FallbackEditor!$J:$J,"Y"))&gt;0,"mapped","unmapped")</f>
        <v>unmapped</v>
      </c>
    </row>
    <row r="346" spans="1:3" x14ac:dyDescent="0.2">
      <c r="A346" t="s">
        <v>347</v>
      </c>
      <c r="B346" t="s">
        <v>916</v>
      </c>
      <c r="C346" t="str">
        <f>IF((COUNTIFS(MappingEditor!$F:$F,$A346,MappingEditor!$G:$G,$B346,MappingEditor!$J:$J,"Y")+COUNTIFS(FallbackEditor!$G:$G,$A346,FallbackEditor!$H:$H,$B346,FallbackEditor!$J:$J,"Y"))&gt;0,"mapped","unmapped")</f>
        <v>unmapped</v>
      </c>
    </row>
    <row r="347" spans="1:3" x14ac:dyDescent="0.2">
      <c r="A347" t="s">
        <v>347</v>
      </c>
      <c r="B347" t="s">
        <v>917</v>
      </c>
      <c r="C347" t="str">
        <f>IF((COUNTIFS(MappingEditor!$F:$F,$A347,MappingEditor!$G:$G,$B347,MappingEditor!$J:$J,"Y")+COUNTIFS(FallbackEditor!$G:$G,$A347,FallbackEditor!$H:$H,$B347,FallbackEditor!$J:$J,"Y"))&gt;0,"mapped","unmapped")</f>
        <v>unmapped</v>
      </c>
    </row>
    <row r="348" spans="1:3" x14ac:dyDescent="0.2">
      <c r="A348" t="s">
        <v>347</v>
      </c>
      <c r="B348" t="s">
        <v>348</v>
      </c>
      <c r="C348" t="str">
        <f>IF((COUNTIFS(MappingEditor!$F:$F,$A348,MappingEditor!$G:$G,$B348,MappingEditor!$J:$J,"Y")+COUNTIFS(FallbackEditor!$G:$G,$A348,FallbackEditor!$H:$H,$B348,FallbackEditor!$J:$J,"Y"))&gt;0,"mapped","unmapped")</f>
        <v>mapped</v>
      </c>
    </row>
    <row r="349" spans="1:3" x14ac:dyDescent="0.2">
      <c r="A349" t="s">
        <v>347</v>
      </c>
      <c r="B349" t="s">
        <v>918</v>
      </c>
      <c r="C349" t="str">
        <f>IF((COUNTIFS(MappingEditor!$F:$F,$A349,MappingEditor!$G:$G,$B349,MappingEditor!$J:$J,"Y")+COUNTIFS(FallbackEditor!$G:$G,$A349,FallbackEditor!$H:$H,$B349,FallbackEditor!$J:$J,"Y"))&gt;0,"mapped","unmapped")</f>
        <v>unmapped</v>
      </c>
    </row>
    <row r="350" spans="1:3" x14ac:dyDescent="0.2">
      <c r="A350" t="s">
        <v>347</v>
      </c>
      <c r="B350" t="s">
        <v>919</v>
      </c>
      <c r="C350" t="str">
        <f>IF((COUNTIFS(MappingEditor!$F:$F,$A350,MappingEditor!$G:$G,$B350,MappingEditor!$J:$J,"Y")+COUNTIFS(FallbackEditor!$G:$G,$A350,FallbackEditor!$H:$H,$B350,FallbackEditor!$J:$J,"Y"))&gt;0,"mapped","unmapped")</f>
        <v>unmapped</v>
      </c>
    </row>
    <row r="351" spans="1:3" x14ac:dyDescent="0.2">
      <c r="A351" t="s">
        <v>347</v>
      </c>
      <c r="B351" t="s">
        <v>920</v>
      </c>
      <c r="C351" t="str">
        <f>IF((COUNTIFS(MappingEditor!$F:$F,$A351,MappingEditor!$G:$G,$B351,MappingEditor!$J:$J,"Y")+COUNTIFS(FallbackEditor!$G:$G,$A351,FallbackEditor!$H:$H,$B351,FallbackEditor!$J:$J,"Y"))&gt;0,"mapped","unmapped")</f>
        <v>unmapped</v>
      </c>
    </row>
    <row r="352" spans="1:3" x14ac:dyDescent="0.2">
      <c r="A352" t="s">
        <v>347</v>
      </c>
      <c r="B352" t="s">
        <v>890</v>
      </c>
      <c r="C352" t="str">
        <f>IF((COUNTIFS(MappingEditor!$F:$F,$A352,MappingEditor!$G:$G,$B352,MappingEditor!$J:$J,"Y")+COUNTIFS(FallbackEditor!$G:$G,$A352,FallbackEditor!$H:$H,$B352,FallbackEditor!$J:$J,"Y"))&gt;0,"mapped","unmapped")</f>
        <v>unmapped</v>
      </c>
    </row>
    <row r="353" spans="1:3" x14ac:dyDescent="0.2">
      <c r="A353" t="s">
        <v>347</v>
      </c>
      <c r="B353" t="s">
        <v>921</v>
      </c>
      <c r="C353" t="str">
        <f>IF((COUNTIFS(MappingEditor!$F:$F,$A353,MappingEditor!$G:$G,$B353,MappingEditor!$J:$J,"Y")+COUNTIFS(FallbackEditor!$G:$G,$A353,FallbackEditor!$H:$H,$B353,FallbackEditor!$J:$J,"Y"))&gt;0,"mapped","unmapped")</f>
        <v>unmapped</v>
      </c>
    </row>
    <row r="354" spans="1:3" x14ac:dyDescent="0.2">
      <c r="A354" t="s">
        <v>347</v>
      </c>
      <c r="B354" t="s">
        <v>922</v>
      </c>
      <c r="C354" t="str">
        <f>IF((COUNTIFS(MappingEditor!$F:$F,$A354,MappingEditor!$G:$G,$B354,MappingEditor!$J:$J,"Y")+COUNTIFS(FallbackEditor!$G:$G,$A354,FallbackEditor!$H:$H,$B354,FallbackEditor!$J:$J,"Y"))&gt;0,"mapped","unmapped")</f>
        <v>unmapped</v>
      </c>
    </row>
    <row r="355" spans="1:3" x14ac:dyDescent="0.2">
      <c r="A355" t="s">
        <v>347</v>
      </c>
      <c r="B355" t="s">
        <v>895</v>
      </c>
      <c r="C355" t="str">
        <f>IF((COUNTIFS(MappingEditor!$F:$F,$A355,MappingEditor!$G:$G,$B355,MappingEditor!$J:$J,"Y")+COUNTIFS(FallbackEditor!$G:$G,$A355,FallbackEditor!$H:$H,$B355,FallbackEditor!$J:$J,"Y"))&gt;0,"mapped","unmapped")</f>
        <v>unmapped</v>
      </c>
    </row>
    <row r="356" spans="1:3" x14ac:dyDescent="0.2">
      <c r="A356" t="s">
        <v>282</v>
      </c>
      <c r="B356" t="s">
        <v>298</v>
      </c>
      <c r="C356" t="str">
        <f>IF((COUNTIFS(MappingEditor!$F:$F,$A356,MappingEditor!$G:$G,$B356,MappingEditor!$J:$J,"Y")+COUNTIFS(FallbackEditor!$G:$G,$A356,FallbackEditor!$H:$H,$B356,FallbackEditor!$J:$J,"Y"))&gt;0,"mapped","unmapped")</f>
        <v>mapped</v>
      </c>
    </row>
    <row r="357" spans="1:3" x14ac:dyDescent="0.2">
      <c r="A357" t="s">
        <v>282</v>
      </c>
      <c r="B357" t="s">
        <v>726</v>
      </c>
      <c r="C357" t="str">
        <f>IF((COUNTIFS(MappingEditor!$F:$F,$A357,MappingEditor!$G:$G,$B357,MappingEditor!$J:$J,"Y")+COUNTIFS(FallbackEditor!$G:$G,$A357,FallbackEditor!$H:$H,$B357,FallbackEditor!$J:$J,"Y"))&gt;0,"mapped","unmapped")</f>
        <v>unmapped</v>
      </c>
    </row>
    <row r="358" spans="1:3" x14ac:dyDescent="0.2">
      <c r="A358" t="s">
        <v>282</v>
      </c>
      <c r="B358" t="s">
        <v>302</v>
      </c>
      <c r="C358" t="str">
        <f>IF((COUNTIFS(MappingEditor!$F:$F,$A358,MappingEditor!$G:$G,$B358,MappingEditor!$J:$J,"Y")+COUNTIFS(FallbackEditor!$G:$G,$A358,FallbackEditor!$H:$H,$B358,FallbackEditor!$J:$J,"Y"))&gt;0,"mapped","unmapped")</f>
        <v>mapped</v>
      </c>
    </row>
    <row r="359" spans="1:3" x14ac:dyDescent="0.2">
      <c r="A359" t="s">
        <v>282</v>
      </c>
      <c r="B359" t="s">
        <v>923</v>
      </c>
      <c r="C359" t="str">
        <f>IF((COUNTIFS(MappingEditor!$F:$F,$A359,MappingEditor!$G:$G,$B359,MappingEditor!$J:$J,"Y")+COUNTIFS(FallbackEditor!$G:$G,$A359,FallbackEditor!$H:$H,$B359,FallbackEditor!$J:$J,"Y"))&gt;0,"mapped","unmapped")</f>
        <v>unmapped</v>
      </c>
    </row>
    <row r="360" spans="1:3" x14ac:dyDescent="0.2">
      <c r="A360" t="s">
        <v>282</v>
      </c>
      <c r="B360" t="s">
        <v>300</v>
      </c>
      <c r="C360" t="str">
        <f>IF((COUNTIFS(MappingEditor!$F:$F,$A360,MappingEditor!$G:$G,$B360,MappingEditor!$J:$J,"Y")+COUNTIFS(FallbackEditor!$G:$G,$A360,FallbackEditor!$H:$H,$B360,FallbackEditor!$J:$J,"Y"))&gt;0,"mapped","unmapped")</f>
        <v>mapped</v>
      </c>
    </row>
    <row r="361" spans="1:3" x14ac:dyDescent="0.2">
      <c r="A361" t="s">
        <v>282</v>
      </c>
      <c r="B361" t="s">
        <v>924</v>
      </c>
      <c r="C361" t="str">
        <f>IF((COUNTIFS(MappingEditor!$F:$F,$A361,MappingEditor!$G:$G,$B361,MappingEditor!$J:$J,"Y")+COUNTIFS(FallbackEditor!$G:$G,$A361,FallbackEditor!$H:$H,$B361,FallbackEditor!$J:$J,"Y"))&gt;0,"mapped","unmapped")</f>
        <v>unmapped</v>
      </c>
    </row>
    <row r="362" spans="1:3" x14ac:dyDescent="0.2">
      <c r="A362" t="s">
        <v>282</v>
      </c>
      <c r="B362" t="s">
        <v>291</v>
      </c>
      <c r="C362" t="str">
        <f>IF((COUNTIFS(MappingEditor!$F:$F,$A362,MappingEditor!$G:$G,$B362,MappingEditor!$J:$J,"Y")+COUNTIFS(FallbackEditor!$G:$G,$A362,FallbackEditor!$H:$H,$B362,FallbackEditor!$J:$J,"Y"))&gt;0,"mapped","unmapped")</f>
        <v>mapped</v>
      </c>
    </row>
    <row r="363" spans="1:3" x14ac:dyDescent="0.2">
      <c r="A363" t="s">
        <v>282</v>
      </c>
      <c r="B363" t="s">
        <v>293</v>
      </c>
      <c r="C363" t="str">
        <f>IF((COUNTIFS(MappingEditor!$F:$F,$A363,MappingEditor!$G:$G,$B363,MappingEditor!$J:$J,"Y")+COUNTIFS(FallbackEditor!$G:$G,$A363,FallbackEditor!$H:$H,$B363,FallbackEditor!$J:$J,"Y"))&gt;0,"mapped","unmapped")</f>
        <v>mapped</v>
      </c>
    </row>
    <row r="364" spans="1:3" x14ac:dyDescent="0.2">
      <c r="A364" t="s">
        <v>282</v>
      </c>
      <c r="B364" t="s">
        <v>286</v>
      </c>
      <c r="C364" t="str">
        <f>IF((COUNTIFS(MappingEditor!$F:$F,$A364,MappingEditor!$G:$G,$B364,MappingEditor!$J:$J,"Y")+COUNTIFS(FallbackEditor!$G:$G,$A364,FallbackEditor!$H:$H,$B364,FallbackEditor!$J:$J,"Y"))&gt;0,"mapped","unmapped")</f>
        <v>mapped</v>
      </c>
    </row>
    <row r="365" spans="1:3" x14ac:dyDescent="0.2">
      <c r="A365" t="s">
        <v>282</v>
      </c>
      <c r="B365" t="s">
        <v>283</v>
      </c>
      <c r="C365" t="str">
        <f>IF((COUNTIFS(MappingEditor!$F:$F,$A365,MappingEditor!$G:$G,$B365,MappingEditor!$J:$J,"Y")+COUNTIFS(FallbackEditor!$G:$G,$A365,FallbackEditor!$H:$H,$B365,FallbackEditor!$J:$J,"Y"))&gt;0,"mapped","unmapped")</f>
        <v>mapped</v>
      </c>
    </row>
    <row r="366" spans="1:3" x14ac:dyDescent="0.2">
      <c r="A366" t="s">
        <v>282</v>
      </c>
      <c r="B366" t="s">
        <v>857</v>
      </c>
      <c r="C366" t="str">
        <f>IF((COUNTIFS(MappingEditor!$F:$F,$A366,MappingEditor!$G:$G,$B366,MappingEditor!$J:$J,"Y")+COUNTIFS(FallbackEditor!$G:$G,$A366,FallbackEditor!$H:$H,$B366,FallbackEditor!$J:$J,"Y"))&gt;0,"mapped","unmapped")</f>
        <v>unmapped</v>
      </c>
    </row>
    <row r="367" spans="1:3" x14ac:dyDescent="0.2">
      <c r="A367" t="s">
        <v>282</v>
      </c>
      <c r="B367" t="s">
        <v>925</v>
      </c>
      <c r="C367" t="str">
        <f>IF((COUNTIFS(MappingEditor!$F:$F,$A367,MappingEditor!$G:$G,$B367,MappingEditor!$J:$J,"Y")+COUNTIFS(FallbackEditor!$G:$G,$A367,FallbackEditor!$H:$H,$B367,FallbackEditor!$J:$J,"Y"))&gt;0,"mapped","unmapped")</f>
        <v>unmapped</v>
      </c>
    </row>
    <row r="368" spans="1:3" x14ac:dyDescent="0.2">
      <c r="A368" t="s">
        <v>282</v>
      </c>
      <c r="B368" t="s">
        <v>926</v>
      </c>
      <c r="C368" t="str">
        <f>IF((COUNTIFS(MappingEditor!$F:$F,$A368,MappingEditor!$G:$G,$B368,MappingEditor!$J:$J,"Y")+COUNTIFS(FallbackEditor!$G:$G,$A368,FallbackEditor!$H:$H,$B368,FallbackEditor!$J:$J,"Y"))&gt;0,"mapped","unmapped")</f>
        <v>unmapped</v>
      </c>
    </row>
    <row r="369" spans="1:3" x14ac:dyDescent="0.2">
      <c r="A369" t="s">
        <v>282</v>
      </c>
      <c r="B369" t="s">
        <v>927</v>
      </c>
      <c r="C369" t="str">
        <f>IF((COUNTIFS(MappingEditor!$F:$F,$A369,MappingEditor!$G:$G,$B369,MappingEditor!$J:$J,"Y")+COUNTIFS(FallbackEditor!$G:$G,$A369,FallbackEditor!$H:$H,$B369,FallbackEditor!$J:$J,"Y"))&gt;0,"mapped","unmapped")</f>
        <v>unmapped</v>
      </c>
    </row>
    <row r="370" spans="1:3" x14ac:dyDescent="0.2">
      <c r="A370" t="s">
        <v>282</v>
      </c>
      <c r="B370" t="s">
        <v>306</v>
      </c>
      <c r="C370" t="str">
        <f>IF((COUNTIFS(MappingEditor!$F:$F,$A370,MappingEditor!$G:$G,$B370,MappingEditor!$J:$J,"Y")+COUNTIFS(FallbackEditor!$G:$G,$A370,FallbackEditor!$H:$H,$B370,FallbackEditor!$J:$J,"Y"))&gt;0,"mapped","unmapped")</f>
        <v>mapped</v>
      </c>
    </row>
    <row r="371" spans="1:3" x14ac:dyDescent="0.2">
      <c r="A371" t="s">
        <v>282</v>
      </c>
      <c r="B371" t="s">
        <v>308</v>
      </c>
      <c r="C371" t="str">
        <f>IF((COUNTIFS(MappingEditor!$F:$F,$A371,MappingEditor!$G:$G,$B371,MappingEditor!$J:$J,"Y")+COUNTIFS(FallbackEditor!$G:$G,$A371,FallbackEditor!$H:$H,$B371,FallbackEditor!$J:$J,"Y"))&gt;0,"mapped","unmapped")</f>
        <v>mapped</v>
      </c>
    </row>
    <row r="372" spans="1:3" x14ac:dyDescent="0.2">
      <c r="A372" t="s">
        <v>282</v>
      </c>
      <c r="B372" t="s">
        <v>928</v>
      </c>
      <c r="C372" t="str">
        <f>IF((COUNTIFS(MappingEditor!$F:$F,$A372,MappingEditor!$G:$G,$B372,MappingEditor!$J:$J,"Y")+COUNTIFS(FallbackEditor!$G:$G,$A372,FallbackEditor!$H:$H,$B372,FallbackEditor!$J:$J,"Y"))&gt;0,"mapped","unmapped")</f>
        <v>unmapped</v>
      </c>
    </row>
    <row r="373" spans="1:3" x14ac:dyDescent="0.2">
      <c r="A373" t="s">
        <v>282</v>
      </c>
      <c r="B373" t="s">
        <v>295</v>
      </c>
      <c r="C373" t="str">
        <f>IF((COUNTIFS(MappingEditor!$F:$F,$A373,MappingEditor!$G:$G,$B373,MappingEditor!$J:$J,"Y")+COUNTIFS(FallbackEditor!$G:$G,$A373,FallbackEditor!$H:$H,$B373,FallbackEditor!$J:$J,"Y"))&gt;0,"mapped","unmapped")</f>
        <v>mapped</v>
      </c>
    </row>
    <row r="374" spans="1:3" x14ac:dyDescent="0.2">
      <c r="A374" t="s">
        <v>282</v>
      </c>
      <c r="B374" t="s">
        <v>929</v>
      </c>
      <c r="C374" t="str">
        <f>IF((COUNTIFS(MappingEditor!$F:$F,$A374,MappingEditor!$G:$G,$B374,MappingEditor!$J:$J,"Y")+COUNTIFS(FallbackEditor!$G:$G,$A374,FallbackEditor!$H:$H,$B374,FallbackEditor!$J:$J,"Y"))&gt;0,"mapped","unmapped")</f>
        <v>unmapped</v>
      </c>
    </row>
    <row r="375" spans="1:3" x14ac:dyDescent="0.2">
      <c r="A375" t="s">
        <v>282</v>
      </c>
      <c r="B375" t="s">
        <v>895</v>
      </c>
      <c r="C375" t="str">
        <f>IF((COUNTIFS(MappingEditor!$F:$F,$A375,MappingEditor!$G:$G,$B375,MappingEditor!$J:$J,"Y")+COUNTIFS(FallbackEditor!$G:$G,$A375,FallbackEditor!$H:$H,$B375,FallbackEditor!$J:$J,"Y"))&gt;0,"mapped","unmapped")</f>
        <v>unmapped</v>
      </c>
    </row>
    <row r="376" spans="1:3" x14ac:dyDescent="0.2">
      <c r="A376" t="s">
        <v>282</v>
      </c>
      <c r="B376" t="s">
        <v>930</v>
      </c>
      <c r="C376" t="str">
        <f>IF((COUNTIFS(MappingEditor!$F:$F,$A376,MappingEditor!$G:$G,$B376,MappingEditor!$J:$J,"Y")+COUNTIFS(FallbackEditor!$G:$G,$A376,FallbackEditor!$H:$H,$B376,FallbackEditor!$J:$J,"Y"))&gt;0,"mapped","unmapped")</f>
        <v>unmapped</v>
      </c>
    </row>
    <row r="377" spans="1:3" x14ac:dyDescent="0.2">
      <c r="A377" t="s">
        <v>282</v>
      </c>
      <c r="B377" t="s">
        <v>931</v>
      </c>
      <c r="C377" t="str">
        <f>IF((COUNTIFS(MappingEditor!$F:$F,$A377,MappingEditor!$G:$G,$B377,MappingEditor!$J:$J,"Y")+COUNTIFS(FallbackEditor!$G:$G,$A377,FallbackEditor!$H:$H,$B377,FallbackEditor!$J:$J,"Y"))&gt;0,"mapped","unmapped")</f>
        <v>unmapped</v>
      </c>
    </row>
    <row r="378" spans="1:3" x14ac:dyDescent="0.2">
      <c r="A378" t="s">
        <v>44</v>
      </c>
      <c r="B378" t="s">
        <v>796</v>
      </c>
      <c r="C378" t="str">
        <f>IF((COUNTIFS(MappingEditor!$F:$F,$A378,MappingEditor!$G:$G,$B378,MappingEditor!$J:$J,"Y")+COUNTIFS(FallbackEditor!$G:$G,$A378,FallbackEditor!$H:$H,$B378,FallbackEditor!$J:$J,"Y"))&gt;0,"mapped","unmapped")</f>
        <v>unmapped</v>
      </c>
    </row>
    <row r="379" spans="1:3" x14ac:dyDescent="0.2">
      <c r="A379" t="s">
        <v>44</v>
      </c>
      <c r="B379" t="s">
        <v>797</v>
      </c>
      <c r="C379" t="str">
        <f>IF((COUNTIFS(MappingEditor!$F:$F,$A379,MappingEditor!$G:$G,$B379,MappingEditor!$J:$J,"Y")+COUNTIFS(FallbackEditor!$G:$G,$A379,FallbackEditor!$H:$H,$B379,FallbackEditor!$J:$J,"Y"))&gt;0,"mapped","unmapped")</f>
        <v>unmapped</v>
      </c>
    </row>
    <row r="380" spans="1:3" x14ac:dyDescent="0.2">
      <c r="A380" t="s">
        <v>44</v>
      </c>
      <c r="B380" t="s">
        <v>805</v>
      </c>
      <c r="C380" t="str">
        <f>IF((COUNTIFS(MappingEditor!$F:$F,$A380,MappingEditor!$G:$G,$B380,MappingEditor!$J:$J,"Y")+COUNTIFS(FallbackEditor!$G:$G,$A380,FallbackEditor!$H:$H,$B380,FallbackEditor!$J:$J,"Y"))&gt;0,"mapped","unmapped")</f>
        <v>unmapped</v>
      </c>
    </row>
    <row r="381" spans="1:3" x14ac:dyDescent="0.2">
      <c r="A381" t="s">
        <v>44</v>
      </c>
      <c r="B381" t="s">
        <v>298</v>
      </c>
      <c r="C381" t="str">
        <f>IF((COUNTIFS(MappingEditor!$F:$F,$A381,MappingEditor!$G:$G,$B381,MappingEditor!$J:$J,"Y")+COUNTIFS(FallbackEditor!$G:$G,$A381,FallbackEditor!$H:$H,$B381,FallbackEditor!$J:$J,"Y"))&gt;0,"mapped","unmapped")</f>
        <v>mapped</v>
      </c>
    </row>
    <row r="382" spans="1:3" x14ac:dyDescent="0.2">
      <c r="A382" t="s">
        <v>44</v>
      </c>
      <c r="B382" t="s">
        <v>726</v>
      </c>
      <c r="C382" t="str">
        <f>IF((COUNTIFS(MappingEditor!$F:$F,$A382,MappingEditor!$G:$G,$B382,MappingEditor!$J:$J,"Y")+COUNTIFS(FallbackEditor!$G:$G,$A382,FallbackEditor!$H:$H,$B382,FallbackEditor!$J:$J,"Y"))&gt;0,"mapped","unmapped")</f>
        <v>unmapped</v>
      </c>
    </row>
    <row r="383" spans="1:3" x14ac:dyDescent="0.2">
      <c r="A383" t="s">
        <v>44</v>
      </c>
      <c r="B383" t="s">
        <v>45</v>
      </c>
      <c r="C383" t="str">
        <f>IF((COUNTIFS(MappingEditor!$F:$F,$A383,MappingEditor!$G:$G,$B383,MappingEditor!$J:$J,"Y")+COUNTIFS(FallbackEditor!$G:$G,$A383,FallbackEditor!$H:$H,$B383,FallbackEditor!$J:$J,"Y"))&gt;0,"mapped","unmapped")</f>
        <v>mapped</v>
      </c>
    </row>
    <row r="384" spans="1:3" x14ac:dyDescent="0.2">
      <c r="A384" t="s">
        <v>44</v>
      </c>
      <c r="B384" t="s">
        <v>42</v>
      </c>
      <c r="C384" t="str">
        <f>IF((COUNTIFS(MappingEditor!$F:$F,$A384,MappingEditor!$G:$G,$B384,MappingEditor!$J:$J,"Y")+COUNTIFS(FallbackEditor!$G:$G,$A384,FallbackEditor!$H:$H,$B384,FallbackEditor!$J:$J,"Y"))&gt;0,"mapped","unmapped")</f>
        <v>mapped</v>
      </c>
    </row>
    <row r="385" spans="1:3" x14ac:dyDescent="0.2">
      <c r="A385" t="s">
        <v>44</v>
      </c>
      <c r="B385" t="s">
        <v>302</v>
      </c>
      <c r="C385" t="str">
        <f>IF((COUNTIFS(MappingEditor!$F:$F,$A385,MappingEditor!$G:$G,$B385,MappingEditor!$J:$J,"Y")+COUNTIFS(FallbackEditor!$G:$G,$A385,FallbackEditor!$H:$H,$B385,FallbackEditor!$J:$J,"Y"))&gt;0,"mapped","unmapped")</f>
        <v>mapped</v>
      </c>
    </row>
    <row r="386" spans="1:3" x14ac:dyDescent="0.2">
      <c r="A386" t="s">
        <v>44</v>
      </c>
      <c r="B386" t="s">
        <v>300</v>
      </c>
      <c r="C386" t="str">
        <f>IF((COUNTIFS(MappingEditor!$F:$F,$A386,MappingEditor!$G:$G,$B386,MappingEditor!$J:$J,"Y")+COUNTIFS(FallbackEditor!$G:$G,$A386,FallbackEditor!$H:$H,$B386,FallbackEditor!$J:$J,"Y"))&gt;0,"mapped","unmapped")</f>
        <v>mapped</v>
      </c>
    </row>
    <row r="387" spans="1:3" x14ac:dyDescent="0.2">
      <c r="A387" t="s">
        <v>44</v>
      </c>
      <c r="B387" t="s">
        <v>729</v>
      </c>
      <c r="C387" t="str">
        <f>IF((COUNTIFS(MappingEditor!$F:$F,$A387,MappingEditor!$G:$G,$B387,MappingEditor!$J:$J,"Y")+COUNTIFS(FallbackEditor!$G:$G,$A387,FallbackEditor!$H:$H,$B387,FallbackEditor!$J:$J,"Y"))&gt;0,"mapped","unmapped")</f>
        <v>unmapped</v>
      </c>
    </row>
    <row r="388" spans="1:3" x14ac:dyDescent="0.2">
      <c r="A388" t="s">
        <v>44</v>
      </c>
      <c r="B388" t="s">
        <v>837</v>
      </c>
      <c r="C388" t="str">
        <f>IF((COUNTIFS(MappingEditor!$F:$F,$A388,MappingEditor!$G:$G,$B388,MappingEditor!$J:$J,"Y")+COUNTIFS(FallbackEditor!$G:$G,$A388,FallbackEditor!$H:$H,$B388,FallbackEditor!$J:$J,"Y"))&gt;0,"mapped","unmapped")</f>
        <v>unmapped</v>
      </c>
    </row>
    <row r="389" spans="1:3" x14ac:dyDescent="0.2">
      <c r="A389" t="s">
        <v>44</v>
      </c>
      <c r="B389" t="s">
        <v>286</v>
      </c>
      <c r="C389" t="str">
        <f>IF((COUNTIFS(MappingEditor!$F:$F,$A389,MappingEditor!$G:$G,$B389,MappingEditor!$J:$J,"Y")+COUNTIFS(FallbackEditor!$G:$G,$A389,FallbackEditor!$H:$H,$B389,FallbackEditor!$J:$J,"Y"))&gt;0,"mapped","unmapped")</f>
        <v>mapped</v>
      </c>
    </row>
    <row r="390" spans="1:3" x14ac:dyDescent="0.2">
      <c r="A390" t="s">
        <v>44</v>
      </c>
      <c r="B390" t="s">
        <v>283</v>
      </c>
      <c r="C390" t="str">
        <f>IF((COUNTIFS(MappingEditor!$F:$F,$A390,MappingEditor!$G:$G,$B390,MappingEditor!$J:$J,"Y")+COUNTIFS(FallbackEditor!$G:$G,$A390,FallbackEditor!$H:$H,$B390,FallbackEditor!$J:$J,"Y"))&gt;0,"mapped","unmapped")</f>
        <v>mapped</v>
      </c>
    </row>
    <row r="391" spans="1:3" x14ac:dyDescent="0.2">
      <c r="A391" t="s">
        <v>44</v>
      </c>
      <c r="B391" t="s">
        <v>851</v>
      </c>
      <c r="C391" t="str">
        <f>IF((COUNTIFS(MappingEditor!$F:$F,$A391,MappingEditor!$G:$G,$B391,MappingEditor!$J:$J,"Y")+COUNTIFS(FallbackEditor!$G:$G,$A391,FallbackEditor!$H:$H,$B391,FallbackEditor!$J:$J,"Y"))&gt;0,"mapped","unmapped")</f>
        <v>unmapped</v>
      </c>
    </row>
    <row r="392" spans="1:3" x14ac:dyDescent="0.2">
      <c r="A392" t="s">
        <v>44</v>
      </c>
      <c r="B392" t="s">
        <v>855</v>
      </c>
      <c r="C392" t="str">
        <f>IF((COUNTIFS(MappingEditor!$F:$F,$A392,MappingEditor!$G:$G,$B392,MappingEditor!$J:$J,"Y")+COUNTIFS(FallbackEditor!$G:$G,$A392,FallbackEditor!$H:$H,$B392,FallbackEditor!$J:$J,"Y"))&gt;0,"mapped","unmapped")</f>
        <v>unmapped</v>
      </c>
    </row>
    <row r="393" spans="1:3" x14ac:dyDescent="0.2">
      <c r="A393" t="s">
        <v>44</v>
      </c>
      <c r="B393" t="s">
        <v>857</v>
      </c>
      <c r="C393" t="str">
        <f>IF((COUNTIFS(MappingEditor!$F:$F,$A393,MappingEditor!$G:$G,$B393,MappingEditor!$J:$J,"Y")+COUNTIFS(FallbackEditor!$G:$G,$A393,FallbackEditor!$H:$H,$B393,FallbackEditor!$J:$J,"Y"))&gt;0,"mapped","unmapped")</f>
        <v>unmapped</v>
      </c>
    </row>
    <row r="394" spans="1:3" x14ac:dyDescent="0.2">
      <c r="A394" t="s">
        <v>44</v>
      </c>
      <c r="B394" t="s">
        <v>115</v>
      </c>
      <c r="C394" t="str">
        <f>IF((COUNTIFS(MappingEditor!$F:$F,$A394,MappingEditor!$G:$G,$B394,MappingEditor!$J:$J,"Y")+COUNTIFS(FallbackEditor!$G:$G,$A394,FallbackEditor!$H:$H,$B394,FallbackEditor!$J:$J,"Y"))&gt;0,"mapped","unmapped")</f>
        <v>unmapped</v>
      </c>
    </row>
    <row r="395" spans="1:3" x14ac:dyDescent="0.2">
      <c r="A395" t="s">
        <v>44</v>
      </c>
      <c r="B395" t="s">
        <v>865</v>
      </c>
      <c r="C395" t="str">
        <f>IF((COUNTIFS(MappingEditor!$F:$F,$A395,MappingEditor!$G:$G,$B395,MappingEditor!$J:$J,"Y")+COUNTIFS(FallbackEditor!$G:$G,$A395,FallbackEditor!$H:$H,$B395,FallbackEditor!$J:$J,"Y"))&gt;0,"mapped","unmapped")</f>
        <v>unmapped</v>
      </c>
    </row>
    <row r="396" spans="1:3" x14ac:dyDescent="0.2">
      <c r="A396" t="s">
        <v>44</v>
      </c>
      <c r="B396" t="s">
        <v>866</v>
      </c>
      <c r="C396" t="str">
        <f>IF((COUNTIFS(MappingEditor!$F:$F,$A396,MappingEditor!$G:$G,$B396,MappingEditor!$J:$J,"Y")+COUNTIFS(FallbackEditor!$G:$G,$A396,FallbackEditor!$H:$H,$B396,FallbackEditor!$J:$J,"Y"))&gt;0,"mapped","unmapped")</f>
        <v>unmapped</v>
      </c>
    </row>
    <row r="397" spans="1:3" x14ac:dyDescent="0.2">
      <c r="A397" t="s">
        <v>44</v>
      </c>
      <c r="B397" t="s">
        <v>867</v>
      </c>
      <c r="C397" t="str">
        <f>IF((COUNTIFS(MappingEditor!$F:$F,$A397,MappingEditor!$G:$G,$B397,MappingEditor!$J:$J,"Y")+COUNTIFS(FallbackEditor!$G:$G,$A397,FallbackEditor!$H:$H,$B397,FallbackEditor!$J:$J,"Y"))&gt;0,"mapped","unmapped")</f>
        <v>unmapped</v>
      </c>
    </row>
    <row r="398" spans="1:3" x14ac:dyDescent="0.2">
      <c r="A398" t="s">
        <v>44</v>
      </c>
      <c r="B398" t="s">
        <v>730</v>
      </c>
      <c r="C398" t="str">
        <f>IF((COUNTIFS(MappingEditor!$F:$F,$A398,MappingEditor!$G:$G,$B398,MappingEditor!$J:$J,"Y")+COUNTIFS(FallbackEditor!$G:$G,$A398,FallbackEditor!$H:$H,$B398,FallbackEditor!$J:$J,"Y"))&gt;0,"mapped","unmapped")</f>
        <v>unmapped</v>
      </c>
    </row>
    <row r="399" spans="1:3" x14ac:dyDescent="0.2">
      <c r="A399" t="s">
        <v>44</v>
      </c>
      <c r="B399" t="s">
        <v>869</v>
      </c>
      <c r="C399" t="str">
        <f>IF((COUNTIFS(MappingEditor!$F:$F,$A399,MappingEditor!$G:$G,$B399,MappingEditor!$J:$J,"Y")+COUNTIFS(FallbackEditor!$G:$G,$A399,FallbackEditor!$H:$H,$B399,FallbackEditor!$J:$J,"Y"))&gt;0,"mapped","unmapped")</f>
        <v>unmapped</v>
      </c>
    </row>
    <row r="400" spans="1:3" x14ac:dyDescent="0.2">
      <c r="A400" t="s">
        <v>44</v>
      </c>
      <c r="B400" t="s">
        <v>882</v>
      </c>
      <c r="C400" t="str">
        <f>IF((COUNTIFS(MappingEditor!$F:$F,$A400,MappingEditor!$G:$G,$B400,MappingEditor!$J:$J,"Y")+COUNTIFS(FallbackEditor!$G:$G,$A400,FallbackEditor!$H:$H,$B400,FallbackEditor!$J:$J,"Y"))&gt;0,"mapped","unmapped")</f>
        <v>unmapped</v>
      </c>
    </row>
    <row r="401" spans="1:3" x14ac:dyDescent="0.2">
      <c r="A401" t="s">
        <v>44</v>
      </c>
      <c r="B401" t="s">
        <v>883</v>
      </c>
      <c r="C401" t="str">
        <f>IF((COUNTIFS(MappingEditor!$F:$F,$A401,MappingEditor!$G:$G,$B401,MappingEditor!$J:$J,"Y")+COUNTIFS(FallbackEditor!$G:$G,$A401,FallbackEditor!$H:$H,$B401,FallbackEditor!$J:$J,"Y"))&gt;0,"mapped","unmapped")</f>
        <v>unmapped</v>
      </c>
    </row>
    <row r="402" spans="1:3" x14ac:dyDescent="0.2">
      <c r="A402" t="s">
        <v>44</v>
      </c>
      <c r="B402" t="s">
        <v>295</v>
      </c>
      <c r="C402" t="str">
        <f>IF((COUNTIFS(MappingEditor!$F:$F,$A402,MappingEditor!$G:$G,$B402,MappingEditor!$J:$J,"Y")+COUNTIFS(FallbackEditor!$G:$G,$A402,FallbackEditor!$H:$H,$B402,FallbackEditor!$J:$J,"Y"))&gt;0,"mapped","unmapped")</f>
        <v>mapped</v>
      </c>
    </row>
    <row r="403" spans="1:3" x14ac:dyDescent="0.2">
      <c r="A403" t="s">
        <v>44</v>
      </c>
      <c r="B403" t="s">
        <v>895</v>
      </c>
      <c r="C403" t="str">
        <f>IF((COUNTIFS(MappingEditor!$F:$F,$A403,MappingEditor!$G:$G,$B403,MappingEditor!$J:$J,"Y")+COUNTIFS(FallbackEditor!$G:$G,$A403,FallbackEditor!$H:$H,$B403,FallbackEditor!$J:$J,"Y"))&gt;0,"mapped","unmapped")</f>
        <v>unmapped</v>
      </c>
    </row>
    <row r="404" spans="1:3" x14ac:dyDescent="0.2">
      <c r="A404" t="s">
        <v>44</v>
      </c>
      <c r="B404" t="s">
        <v>903</v>
      </c>
      <c r="C404" t="str">
        <f>IF((COUNTIFS(MappingEditor!$F:$F,$A404,MappingEditor!$G:$G,$B404,MappingEditor!$J:$J,"Y")+COUNTIFS(FallbackEditor!$G:$G,$A404,FallbackEditor!$H:$H,$B404,FallbackEditor!$J:$J,"Y"))&gt;0,"mapped","unmapped")</f>
        <v>unmapped</v>
      </c>
    </row>
    <row r="405" spans="1:3" x14ac:dyDescent="0.2">
      <c r="A405" t="s">
        <v>206</v>
      </c>
      <c r="B405" t="s">
        <v>726</v>
      </c>
      <c r="C405" t="str">
        <f>IF((COUNTIFS(MappingEditor!$F:$F,$A405,MappingEditor!$G:$G,$B405,MappingEditor!$J:$J,"Y")+COUNTIFS(FallbackEditor!$G:$G,$A405,FallbackEditor!$H:$H,$B405,FallbackEditor!$J:$J,"Y"))&gt;0,"mapped","unmapped")</f>
        <v>unmapped</v>
      </c>
    </row>
    <row r="406" spans="1:3" x14ac:dyDescent="0.2">
      <c r="A406" t="s">
        <v>206</v>
      </c>
      <c r="B406" t="s">
        <v>729</v>
      </c>
      <c r="C406" t="str">
        <f>IF((COUNTIFS(MappingEditor!$F:$F,$A406,MappingEditor!$G:$G,$B406,MappingEditor!$J:$J,"Y")+COUNTIFS(FallbackEditor!$G:$G,$A406,FallbackEditor!$H:$H,$B406,FallbackEditor!$J:$J,"Y"))&gt;0,"mapped","unmapped")</f>
        <v>unmapped</v>
      </c>
    </row>
    <row r="407" spans="1:3" x14ac:dyDescent="0.2">
      <c r="A407" t="s">
        <v>206</v>
      </c>
      <c r="B407" t="s">
        <v>210</v>
      </c>
      <c r="C407" t="str">
        <f>IF((COUNTIFS(MappingEditor!$F:$F,$A407,MappingEditor!$G:$G,$B407,MappingEditor!$J:$J,"Y")+COUNTIFS(FallbackEditor!$G:$G,$A407,FallbackEditor!$H:$H,$B407,FallbackEditor!$J:$J,"Y"))&gt;0,"mapped","unmapped")</f>
        <v>mapped</v>
      </c>
    </row>
    <row r="408" spans="1:3" x14ac:dyDescent="0.2">
      <c r="A408" t="s">
        <v>206</v>
      </c>
      <c r="B408" t="s">
        <v>207</v>
      </c>
      <c r="C408" t="str">
        <f>IF((COUNTIFS(MappingEditor!$F:$F,$A408,MappingEditor!$G:$G,$B408,MappingEditor!$J:$J,"Y")+COUNTIFS(FallbackEditor!$G:$G,$A408,FallbackEditor!$H:$H,$B408,FallbackEditor!$J:$J,"Y"))&gt;0,"mapped","unmapped")</f>
        <v>mapped</v>
      </c>
    </row>
    <row r="409" spans="1:3" x14ac:dyDescent="0.2">
      <c r="A409" t="s">
        <v>206</v>
      </c>
      <c r="B409" t="s">
        <v>895</v>
      </c>
      <c r="C409" t="str">
        <f>IF((COUNTIFS(MappingEditor!$F:$F,$A409,MappingEditor!$G:$G,$B409,MappingEditor!$J:$J,"Y")+COUNTIFS(FallbackEditor!$G:$G,$A409,FallbackEditor!$H:$H,$B409,FallbackEditor!$J:$J,"Y"))&gt;0,"mapped","unmapped")</f>
        <v>unmapped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5"/>
  <sheetViews>
    <sheetView workbookViewId="0"/>
  </sheetViews>
  <sheetFormatPr baseColWidth="10" defaultColWidth="8.83203125" defaultRowHeight="15" x14ac:dyDescent="0.2"/>
  <cols>
    <col min="1" max="1" width="60" customWidth="1"/>
    <col min="2" max="2" width="17" customWidth="1"/>
    <col min="3" max="3" width="33" customWidth="1"/>
    <col min="4" max="4" width="28" customWidth="1"/>
    <col min="5" max="5" width="56" customWidth="1"/>
    <col min="6" max="6" width="16" customWidth="1"/>
    <col min="7" max="7" width="28" customWidth="1"/>
    <col min="8" max="8" width="36" customWidth="1"/>
    <col min="9" max="10" width="12" customWidth="1"/>
    <col min="11" max="11" width="50" customWidth="1"/>
    <col min="12" max="12" width="36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13</v>
      </c>
    </row>
    <row r="2" spans="1:12" x14ac:dyDescent="0.2">
      <c r="A2" t="s">
        <v>145</v>
      </c>
      <c r="B2" t="s">
        <v>87</v>
      </c>
      <c r="C2" t="s">
        <v>146</v>
      </c>
      <c r="D2" t="s">
        <v>31</v>
      </c>
      <c r="F2">
        <v>1</v>
      </c>
      <c r="G2" t="s">
        <v>143</v>
      </c>
      <c r="H2" t="s">
        <v>147</v>
      </c>
      <c r="I2" t="s">
        <v>21</v>
      </c>
      <c r="J2" t="s">
        <v>22</v>
      </c>
      <c r="K2" t="s">
        <v>98</v>
      </c>
      <c r="L2" t="str">
        <f ca="1">IFERROR(_xludf.XLOOKUP($G2&amp;"."&amp;$H2,CaseSource!$A$2:$A$371,CaseSource!$B$2:$B$371,""),"")</f>
        <v/>
      </c>
    </row>
    <row r="3" spans="1:12" x14ac:dyDescent="0.2">
      <c r="A3" t="s">
        <v>145</v>
      </c>
      <c r="B3" t="s">
        <v>87</v>
      </c>
      <c r="C3" t="s">
        <v>146</v>
      </c>
      <c r="D3" t="s">
        <v>31</v>
      </c>
      <c r="F3">
        <v>2</v>
      </c>
      <c r="G3" t="s">
        <v>143</v>
      </c>
      <c r="H3" t="s">
        <v>148</v>
      </c>
      <c r="I3" t="s">
        <v>21</v>
      </c>
      <c r="J3" t="s">
        <v>22</v>
      </c>
      <c r="K3" t="s">
        <v>98</v>
      </c>
      <c r="L3" t="str">
        <f ca="1">IFERROR(_xludf.XLOOKUP($G3&amp;"."&amp;$H3,CaseSource!$A$2:$A$371,CaseSource!$B$2:$B$371,""),"")</f>
        <v/>
      </c>
    </row>
    <row r="4" spans="1:12" x14ac:dyDescent="0.2">
      <c r="A4" t="s">
        <v>180</v>
      </c>
      <c r="B4" t="s">
        <v>87</v>
      </c>
      <c r="C4" t="s">
        <v>96</v>
      </c>
      <c r="D4" t="s">
        <v>31</v>
      </c>
      <c r="F4">
        <v>1</v>
      </c>
      <c r="G4" t="s">
        <v>24</v>
      </c>
      <c r="H4" t="s">
        <v>179</v>
      </c>
      <c r="I4" t="s">
        <v>21</v>
      </c>
      <c r="J4" t="s">
        <v>22</v>
      </c>
      <c r="K4" t="s">
        <v>98</v>
      </c>
      <c r="L4" t="str">
        <f ca="1">IFERROR(_xludf.XLOOKUP($G4&amp;"."&amp;$H4,CaseSource!$A$2:$A$371,CaseSource!$B$2:$B$371,""),"")</f>
        <v/>
      </c>
    </row>
    <row r="5" spans="1:12" x14ac:dyDescent="0.2">
      <c r="A5" t="s">
        <v>53</v>
      </c>
      <c r="B5" t="s">
        <v>15</v>
      </c>
      <c r="C5" t="s">
        <v>54</v>
      </c>
      <c r="D5" t="s">
        <v>31</v>
      </c>
      <c r="E5" t="s">
        <v>55</v>
      </c>
      <c r="F5">
        <v>1</v>
      </c>
      <c r="G5" t="s">
        <v>24</v>
      </c>
      <c r="H5" t="s">
        <v>56</v>
      </c>
      <c r="I5" t="s">
        <v>21</v>
      </c>
      <c r="J5" t="s">
        <v>22</v>
      </c>
      <c r="K5" t="s">
        <v>57</v>
      </c>
      <c r="L5" t="str">
        <f ca="1">IFERROR(_xludf.XLOOKUP($G5&amp;"."&amp;$H5,CaseSource!$A$2:$A$371,CaseSource!$B$2:$B$371,""),"")</f>
        <v/>
      </c>
    </row>
    <row r="6" spans="1:12" x14ac:dyDescent="0.2">
      <c r="A6" t="s">
        <v>248</v>
      </c>
      <c r="B6" t="s">
        <v>249</v>
      </c>
      <c r="C6" t="s">
        <v>16</v>
      </c>
      <c r="D6" t="s">
        <v>250</v>
      </c>
      <c r="E6" t="s">
        <v>251</v>
      </c>
      <c r="F6">
        <v>1</v>
      </c>
      <c r="G6" t="s">
        <v>19</v>
      </c>
      <c r="H6" t="s">
        <v>42</v>
      </c>
      <c r="I6" t="s">
        <v>21</v>
      </c>
      <c r="J6" t="s">
        <v>22</v>
      </c>
      <c r="K6" t="s">
        <v>252</v>
      </c>
      <c r="L6" t="str">
        <f ca="1">IFERROR(_xludf.XLOOKUP($G6&amp;"."&amp;$H6,CaseSource!$A$2:$A$371,CaseSource!$B$2:$B$371,""),"")</f>
        <v/>
      </c>
    </row>
    <row r="7" spans="1:12" x14ac:dyDescent="0.2">
      <c r="A7" t="s">
        <v>248</v>
      </c>
      <c r="B7" t="s">
        <v>249</v>
      </c>
      <c r="C7" t="s">
        <v>16</v>
      </c>
      <c r="D7" t="s">
        <v>250</v>
      </c>
      <c r="E7" t="s">
        <v>251</v>
      </c>
      <c r="F7">
        <v>2</v>
      </c>
      <c r="G7" t="s">
        <v>44</v>
      </c>
      <c r="H7" t="s">
        <v>42</v>
      </c>
      <c r="I7" t="s">
        <v>21</v>
      </c>
      <c r="J7" t="s">
        <v>22</v>
      </c>
      <c r="K7" t="s">
        <v>252</v>
      </c>
      <c r="L7" t="str">
        <f ca="1">IFERROR(_xludf.XLOOKUP($G7&amp;"."&amp;$H7,CaseSource!$A$2:$A$371,CaseSource!$B$2:$B$371,""),"")</f>
        <v/>
      </c>
    </row>
    <row r="8" spans="1:12" x14ac:dyDescent="0.2">
      <c r="A8" t="s">
        <v>248</v>
      </c>
      <c r="B8" t="s">
        <v>249</v>
      </c>
      <c r="C8" t="s">
        <v>16</v>
      </c>
      <c r="D8" t="s">
        <v>250</v>
      </c>
      <c r="E8" t="s">
        <v>251</v>
      </c>
      <c r="F8">
        <v>3</v>
      </c>
      <c r="G8" t="s">
        <v>19</v>
      </c>
      <c r="H8" t="s">
        <v>46</v>
      </c>
      <c r="I8" t="s">
        <v>21</v>
      </c>
      <c r="J8" t="s">
        <v>22</v>
      </c>
      <c r="K8" t="s">
        <v>252</v>
      </c>
      <c r="L8" t="str">
        <f ca="1">IFERROR(_xludf.XLOOKUP($G8&amp;"."&amp;$H8,CaseSource!$A$2:$A$371,CaseSource!$B$2:$B$371,""),"")</f>
        <v/>
      </c>
    </row>
    <row r="9" spans="1:12" x14ac:dyDescent="0.2">
      <c r="A9" t="s">
        <v>248</v>
      </c>
      <c r="B9" t="s">
        <v>249</v>
      </c>
      <c r="C9" t="s">
        <v>16</v>
      </c>
      <c r="D9" t="s">
        <v>250</v>
      </c>
      <c r="E9" t="s">
        <v>251</v>
      </c>
      <c r="F9">
        <v>4</v>
      </c>
      <c r="G9" t="s">
        <v>24</v>
      </c>
      <c r="H9" t="s">
        <v>237</v>
      </c>
      <c r="I9" t="s">
        <v>21</v>
      </c>
      <c r="J9" t="s">
        <v>22</v>
      </c>
      <c r="K9" t="s">
        <v>252</v>
      </c>
      <c r="L9" t="str">
        <f ca="1">IFERROR(_xludf.XLOOKUP($G9&amp;"."&amp;$H9,CaseSource!$A$2:$A$371,CaseSource!$B$2:$B$371,""),"")</f>
        <v/>
      </c>
    </row>
    <row r="10" spans="1:12" x14ac:dyDescent="0.2">
      <c r="A10" t="s">
        <v>242</v>
      </c>
      <c r="D10" t="s">
        <v>31</v>
      </c>
      <c r="F10">
        <v>1</v>
      </c>
      <c r="G10" t="s">
        <v>19</v>
      </c>
      <c r="H10" t="s">
        <v>37</v>
      </c>
      <c r="I10" t="s">
        <v>21</v>
      </c>
      <c r="J10" t="s">
        <v>22</v>
      </c>
      <c r="K10" t="s">
        <v>243</v>
      </c>
      <c r="L10" t="str">
        <f ca="1">IFERROR(_xludf.XLOOKUP($G10&amp;"."&amp;$H10,CaseSource!$A$2:$A$371,CaseSource!$B$2:$B$371,""),"")</f>
        <v/>
      </c>
    </row>
    <row r="11" spans="1:12" x14ac:dyDescent="0.2">
      <c r="A11" t="s">
        <v>242</v>
      </c>
      <c r="D11" t="s">
        <v>31</v>
      </c>
      <c r="F11">
        <v>2</v>
      </c>
      <c r="G11" t="s">
        <v>24</v>
      </c>
      <c r="H11" t="s">
        <v>38</v>
      </c>
      <c r="I11" t="s">
        <v>21</v>
      </c>
      <c r="J11" t="s">
        <v>22</v>
      </c>
      <c r="K11" t="s">
        <v>243</v>
      </c>
      <c r="L11" t="str">
        <f ca="1">IFERROR(_xludf.XLOOKUP($G11&amp;"."&amp;$H11,CaseSource!$A$2:$A$371,CaseSource!$B$2:$B$371,""),"")</f>
        <v/>
      </c>
    </row>
    <row r="12" spans="1:12" x14ac:dyDescent="0.2">
      <c r="A12" t="s">
        <v>253</v>
      </c>
      <c r="D12" t="s">
        <v>31</v>
      </c>
      <c r="F12">
        <v>1</v>
      </c>
      <c r="G12" t="s">
        <v>19</v>
      </c>
      <c r="H12" t="s">
        <v>42</v>
      </c>
      <c r="I12" t="s">
        <v>21</v>
      </c>
      <c r="J12" t="s">
        <v>22</v>
      </c>
      <c r="K12" t="s">
        <v>235</v>
      </c>
      <c r="L12" t="str">
        <f ca="1">IFERROR(_xludf.XLOOKUP($G12&amp;"."&amp;$H12,CaseSource!$A$2:$A$371,CaseSource!$B$2:$B$371,""),"")</f>
        <v/>
      </c>
    </row>
    <row r="13" spans="1:12" x14ac:dyDescent="0.2">
      <c r="A13" t="s">
        <v>253</v>
      </c>
      <c r="D13" t="s">
        <v>31</v>
      </c>
      <c r="F13">
        <v>2</v>
      </c>
      <c r="G13" t="s">
        <v>44</v>
      </c>
      <c r="H13" t="s">
        <v>42</v>
      </c>
      <c r="I13" t="s">
        <v>21</v>
      </c>
      <c r="J13" t="s">
        <v>22</v>
      </c>
      <c r="K13" t="s">
        <v>235</v>
      </c>
      <c r="L13" t="str">
        <f ca="1">IFERROR(_xludf.XLOOKUP($G13&amp;"."&amp;$H13,CaseSource!$A$2:$A$371,CaseSource!$B$2:$B$371,""),"")</f>
        <v/>
      </c>
    </row>
    <row r="14" spans="1:12" x14ac:dyDescent="0.2">
      <c r="A14" t="s">
        <v>244</v>
      </c>
      <c r="D14" t="s">
        <v>31</v>
      </c>
      <c r="F14">
        <v>1</v>
      </c>
      <c r="G14" t="s">
        <v>19</v>
      </c>
      <c r="H14" t="s">
        <v>33</v>
      </c>
      <c r="I14" t="s">
        <v>21</v>
      </c>
      <c r="J14" t="s">
        <v>22</v>
      </c>
      <c r="K14" t="s">
        <v>126</v>
      </c>
      <c r="L14" t="str">
        <f ca="1">IFERROR(_xludf.XLOOKUP($G14&amp;"."&amp;$H14,CaseSource!$A$2:$A$371,CaseSource!$B$2:$B$371,""),"")</f>
        <v/>
      </c>
    </row>
    <row r="15" spans="1:12" x14ac:dyDescent="0.2">
      <c r="A15" t="s">
        <v>244</v>
      </c>
      <c r="D15" t="s">
        <v>31</v>
      </c>
      <c r="F15">
        <v>2</v>
      </c>
      <c r="G15" t="s">
        <v>24</v>
      </c>
      <c r="H15" t="s">
        <v>36</v>
      </c>
      <c r="I15" t="s">
        <v>21</v>
      </c>
      <c r="J15" t="s">
        <v>22</v>
      </c>
      <c r="K15" t="s">
        <v>126</v>
      </c>
      <c r="L15" t="str">
        <f ca="1">IFERROR(_xludf.XLOOKUP($G15&amp;"."&amp;$H15,CaseSource!$A$2:$A$371,CaseSource!$B$2:$B$371,""),"")</f>
        <v/>
      </c>
    </row>
    <row r="16" spans="1:12" x14ac:dyDescent="0.2">
      <c r="A16" t="s">
        <v>245</v>
      </c>
      <c r="D16" t="s">
        <v>31</v>
      </c>
      <c r="F16">
        <v>1</v>
      </c>
      <c r="G16" t="s">
        <v>19</v>
      </c>
      <c r="H16" t="s">
        <v>246</v>
      </c>
      <c r="I16" t="s">
        <v>21</v>
      </c>
      <c r="J16" t="s">
        <v>22</v>
      </c>
      <c r="K16" t="s">
        <v>126</v>
      </c>
      <c r="L16" t="str">
        <f ca="1">IFERROR(_xludf.XLOOKUP($G16&amp;"."&amp;$H16,CaseSource!$A$2:$A$371,CaseSource!$B$2:$B$371,""),"")</f>
        <v/>
      </c>
    </row>
    <row r="17" spans="1:12" x14ac:dyDescent="0.2">
      <c r="A17" t="s">
        <v>247</v>
      </c>
      <c r="D17" t="s">
        <v>31</v>
      </c>
      <c r="F17">
        <v>1</v>
      </c>
      <c r="G17" t="s">
        <v>19</v>
      </c>
      <c r="H17" t="s">
        <v>136</v>
      </c>
      <c r="I17" t="s">
        <v>21</v>
      </c>
      <c r="J17" t="s">
        <v>22</v>
      </c>
      <c r="K17" t="s">
        <v>126</v>
      </c>
      <c r="L17" t="str">
        <f ca="1">IFERROR(_xludf.XLOOKUP($G17&amp;"."&amp;$H17,CaseSource!$A$2:$A$371,CaseSource!$B$2:$B$371,""),"")</f>
        <v/>
      </c>
    </row>
    <row r="18" spans="1:12" x14ac:dyDescent="0.2">
      <c r="A18" t="s">
        <v>247</v>
      </c>
      <c r="D18" t="s">
        <v>31</v>
      </c>
      <c r="F18">
        <v>2</v>
      </c>
      <c r="G18" t="s">
        <v>24</v>
      </c>
      <c r="H18" t="s">
        <v>138</v>
      </c>
      <c r="I18" t="s">
        <v>21</v>
      </c>
      <c r="J18" t="s">
        <v>22</v>
      </c>
      <c r="K18" t="s">
        <v>126</v>
      </c>
      <c r="L18" t="str">
        <f ca="1">IFERROR(_xludf.XLOOKUP($G18&amp;"."&amp;$H18,CaseSource!$A$2:$A$371,CaseSource!$B$2:$B$371,""),"")</f>
        <v/>
      </c>
    </row>
    <row r="19" spans="1:12" x14ac:dyDescent="0.2">
      <c r="A19" t="s">
        <v>142</v>
      </c>
      <c r="B19" t="s">
        <v>87</v>
      </c>
      <c r="C19" t="s">
        <v>16</v>
      </c>
      <c r="D19" t="s">
        <v>31</v>
      </c>
      <c r="F19">
        <v>1</v>
      </c>
      <c r="G19" t="s">
        <v>143</v>
      </c>
      <c r="H19" t="s">
        <v>144</v>
      </c>
      <c r="I19" t="s">
        <v>21</v>
      </c>
      <c r="J19" t="s">
        <v>22</v>
      </c>
      <c r="K19" t="s">
        <v>141</v>
      </c>
      <c r="L19" t="str">
        <f ca="1">IFERROR(_xludf.XLOOKUP($G19&amp;"."&amp;$H19,CaseSource!$A$2:$A$371,CaseSource!$B$2:$B$371,""),"")</f>
        <v/>
      </c>
    </row>
    <row r="20" spans="1:12" x14ac:dyDescent="0.2">
      <c r="A20" t="s">
        <v>119</v>
      </c>
      <c r="B20" t="s">
        <v>87</v>
      </c>
      <c r="C20" t="s">
        <v>120</v>
      </c>
      <c r="D20" t="s">
        <v>31</v>
      </c>
      <c r="F20">
        <v>1</v>
      </c>
      <c r="G20" t="s">
        <v>19</v>
      </c>
      <c r="H20" t="s">
        <v>121</v>
      </c>
      <c r="I20" t="s">
        <v>21</v>
      </c>
      <c r="J20" t="s">
        <v>22</v>
      </c>
      <c r="K20" t="s">
        <v>122</v>
      </c>
      <c r="L20" t="str">
        <f ca="1">IFERROR(_xludf.XLOOKUP($G20&amp;"."&amp;$H20,CaseSource!$A$2:$A$371,CaseSource!$B$2:$B$371,""),"")</f>
        <v/>
      </c>
    </row>
    <row r="21" spans="1:12" x14ac:dyDescent="0.2">
      <c r="A21" t="s">
        <v>119</v>
      </c>
      <c r="B21" t="s">
        <v>87</v>
      </c>
      <c r="C21" t="s">
        <v>120</v>
      </c>
      <c r="D21" t="s">
        <v>31</v>
      </c>
      <c r="F21">
        <v>2</v>
      </c>
      <c r="G21" t="s">
        <v>19</v>
      </c>
      <c r="H21" t="s">
        <v>123</v>
      </c>
      <c r="I21" t="s">
        <v>21</v>
      </c>
      <c r="J21" t="s">
        <v>22</v>
      </c>
      <c r="K21" t="s">
        <v>122</v>
      </c>
      <c r="L21" t="str">
        <f ca="1">IFERROR(_xludf.XLOOKUP($G21&amp;"."&amp;$H21,CaseSource!$A$2:$A$371,CaseSource!$B$2:$B$371,""),"")</f>
        <v/>
      </c>
    </row>
    <row r="22" spans="1:12" x14ac:dyDescent="0.2">
      <c r="A22" t="s">
        <v>119</v>
      </c>
      <c r="B22" t="s">
        <v>87</v>
      </c>
      <c r="C22" t="s">
        <v>120</v>
      </c>
      <c r="D22" t="s">
        <v>31</v>
      </c>
      <c r="F22">
        <v>3</v>
      </c>
      <c r="G22" t="s">
        <v>24</v>
      </c>
      <c r="H22" t="s">
        <v>121</v>
      </c>
      <c r="I22" t="s">
        <v>21</v>
      </c>
      <c r="J22" t="s">
        <v>22</v>
      </c>
      <c r="K22" t="s">
        <v>122</v>
      </c>
      <c r="L22" t="str">
        <f ca="1">IFERROR(_xludf.XLOOKUP($G22&amp;"."&amp;$H22,CaseSource!$A$2:$A$371,CaseSource!$B$2:$B$371,""),"")</f>
        <v/>
      </c>
    </row>
    <row r="23" spans="1:12" x14ac:dyDescent="0.2">
      <c r="A23" t="s">
        <v>149</v>
      </c>
      <c r="B23" t="s">
        <v>87</v>
      </c>
      <c r="C23" t="s">
        <v>146</v>
      </c>
      <c r="D23" t="s">
        <v>31</v>
      </c>
      <c r="F23">
        <v>1</v>
      </c>
      <c r="G23" t="s">
        <v>143</v>
      </c>
      <c r="H23" t="s">
        <v>150</v>
      </c>
      <c r="I23" t="s">
        <v>21</v>
      </c>
      <c r="J23" t="s">
        <v>22</v>
      </c>
      <c r="K23" t="s">
        <v>98</v>
      </c>
      <c r="L23" t="str">
        <f ca="1">IFERROR(_xludf.XLOOKUP($G23&amp;"."&amp;$H23,CaseSource!$A$2:$A$371,CaseSource!$B$2:$B$371,""),"")</f>
        <v/>
      </c>
    </row>
    <row r="24" spans="1:12" x14ac:dyDescent="0.2">
      <c r="A24" t="s">
        <v>187</v>
      </c>
      <c r="B24" t="s">
        <v>87</v>
      </c>
      <c r="C24" t="s">
        <v>182</v>
      </c>
      <c r="D24" t="s">
        <v>31</v>
      </c>
      <c r="F24">
        <v>1</v>
      </c>
      <c r="G24" t="s">
        <v>24</v>
      </c>
      <c r="H24" t="s">
        <v>186</v>
      </c>
      <c r="I24" t="s">
        <v>21</v>
      </c>
      <c r="J24" t="s">
        <v>22</v>
      </c>
      <c r="K24" t="s">
        <v>188</v>
      </c>
      <c r="L24" t="str">
        <f ca="1">IFERROR(_xludf.XLOOKUP($G24&amp;"."&amp;$H24,CaseSource!$A$2:$A$371,CaseSource!$B$2:$B$371,""),"")</f>
        <v/>
      </c>
    </row>
    <row r="25" spans="1:12" x14ac:dyDescent="0.2">
      <c r="A25" t="s">
        <v>100</v>
      </c>
      <c r="B25" t="s">
        <v>87</v>
      </c>
      <c r="C25" t="s">
        <v>80</v>
      </c>
      <c r="D25" t="s">
        <v>31</v>
      </c>
      <c r="F25">
        <v>1</v>
      </c>
      <c r="G25" t="s">
        <v>24</v>
      </c>
      <c r="H25" t="s">
        <v>101</v>
      </c>
      <c r="I25" t="s">
        <v>21</v>
      </c>
      <c r="J25" t="s">
        <v>22</v>
      </c>
      <c r="K25" t="s">
        <v>98</v>
      </c>
      <c r="L25" t="str">
        <f ca="1">IFERROR(_xludf.XLOOKUP($G25&amp;"."&amp;$H25,CaseSource!$A$2:$A$371,CaseSource!$B$2:$B$371,""),"")</f>
        <v/>
      </c>
    </row>
    <row r="26" spans="1:12" x14ac:dyDescent="0.2">
      <c r="A26" t="s">
        <v>100</v>
      </c>
      <c r="B26" t="s">
        <v>87</v>
      </c>
      <c r="C26" t="s">
        <v>80</v>
      </c>
      <c r="D26" t="s">
        <v>31</v>
      </c>
      <c r="F26">
        <v>2</v>
      </c>
      <c r="G26" t="s">
        <v>24</v>
      </c>
      <c r="H26" t="s">
        <v>102</v>
      </c>
      <c r="I26" t="s">
        <v>21</v>
      </c>
      <c r="J26" t="s">
        <v>22</v>
      </c>
      <c r="K26" t="s">
        <v>98</v>
      </c>
      <c r="L26" t="str">
        <f ca="1">IFERROR(_xludf.XLOOKUP($G26&amp;"."&amp;$H26,CaseSource!$A$2:$A$371,CaseSource!$B$2:$B$371,""),"")</f>
        <v/>
      </c>
    </row>
    <row r="27" spans="1:12" x14ac:dyDescent="0.2">
      <c r="A27" t="s">
        <v>327</v>
      </c>
      <c r="B27" t="s">
        <v>87</v>
      </c>
      <c r="C27" t="s">
        <v>314</v>
      </c>
      <c r="D27" t="s">
        <v>31</v>
      </c>
      <c r="F27">
        <v>1</v>
      </c>
      <c r="G27" t="s">
        <v>64</v>
      </c>
      <c r="H27" t="s">
        <v>328</v>
      </c>
      <c r="I27" t="s">
        <v>21</v>
      </c>
      <c r="J27" t="s">
        <v>22</v>
      </c>
      <c r="K27" t="s">
        <v>98</v>
      </c>
      <c r="L27" t="str">
        <f ca="1">IFERROR(_xludf.XLOOKUP($G27&amp;"."&amp;$H27,CaseSource!$A$2:$A$371,CaseSource!$B$2:$B$371,""),"")</f>
        <v/>
      </c>
    </row>
    <row r="28" spans="1:12" x14ac:dyDescent="0.2">
      <c r="A28" t="s">
        <v>327</v>
      </c>
      <c r="B28" t="s">
        <v>87</v>
      </c>
      <c r="C28" t="s">
        <v>314</v>
      </c>
      <c r="D28" t="s">
        <v>31</v>
      </c>
      <c r="F28">
        <v>2</v>
      </c>
      <c r="G28" t="s">
        <v>61</v>
      </c>
      <c r="H28" t="s">
        <v>329</v>
      </c>
      <c r="I28" t="s">
        <v>21</v>
      </c>
      <c r="J28" t="s">
        <v>22</v>
      </c>
      <c r="K28" t="s">
        <v>98</v>
      </c>
      <c r="L28" t="str">
        <f ca="1">IFERROR(_xludf.XLOOKUP($G28&amp;"."&amp;$H28,CaseSource!$A$2:$A$371,CaseSource!$B$2:$B$371,""),"")</f>
        <v/>
      </c>
    </row>
    <row r="29" spans="1:12" x14ac:dyDescent="0.2">
      <c r="A29" t="s">
        <v>327</v>
      </c>
      <c r="B29" t="s">
        <v>87</v>
      </c>
      <c r="C29" t="s">
        <v>314</v>
      </c>
      <c r="D29" t="s">
        <v>31</v>
      </c>
      <c r="F29">
        <v>3</v>
      </c>
      <c r="G29" t="s">
        <v>24</v>
      </c>
      <c r="H29" t="s">
        <v>179</v>
      </c>
      <c r="I29" t="s">
        <v>21</v>
      </c>
      <c r="J29" t="s">
        <v>22</v>
      </c>
      <c r="K29" t="s">
        <v>98</v>
      </c>
      <c r="L29" t="str">
        <f ca="1">IFERROR(_xludf.XLOOKUP($G29&amp;"."&amp;$H29,CaseSource!$A$2:$A$371,CaseSource!$B$2:$B$371,""),"")</f>
        <v/>
      </c>
    </row>
    <row r="30" spans="1:12" x14ac:dyDescent="0.2">
      <c r="A30" t="s">
        <v>319</v>
      </c>
      <c r="B30" t="s">
        <v>87</v>
      </c>
      <c r="C30" t="s">
        <v>314</v>
      </c>
      <c r="D30" t="s">
        <v>31</v>
      </c>
      <c r="F30">
        <v>1</v>
      </c>
      <c r="G30" t="s">
        <v>64</v>
      </c>
      <c r="H30" t="s">
        <v>320</v>
      </c>
      <c r="I30" t="s">
        <v>21</v>
      </c>
      <c r="J30" t="s">
        <v>22</v>
      </c>
      <c r="K30" t="s">
        <v>98</v>
      </c>
      <c r="L30" t="str">
        <f ca="1">IFERROR(_xludf.XLOOKUP($G30&amp;"."&amp;$H30,CaseSource!$A$2:$A$371,CaseSource!$B$2:$B$371,""),"")</f>
        <v/>
      </c>
    </row>
    <row r="31" spans="1:12" x14ac:dyDescent="0.2">
      <c r="A31" t="s">
        <v>319</v>
      </c>
      <c r="B31" t="s">
        <v>87</v>
      </c>
      <c r="C31" t="s">
        <v>314</v>
      </c>
      <c r="D31" t="s">
        <v>31</v>
      </c>
      <c r="F31">
        <v>2</v>
      </c>
      <c r="G31" t="s">
        <v>61</v>
      </c>
      <c r="H31" t="s">
        <v>90</v>
      </c>
      <c r="I31" t="s">
        <v>21</v>
      </c>
      <c r="J31" t="s">
        <v>22</v>
      </c>
      <c r="K31" t="s">
        <v>98</v>
      </c>
      <c r="L31" t="str">
        <f ca="1">IFERROR(_xludf.XLOOKUP($G31&amp;"."&amp;$H31,CaseSource!$A$2:$A$371,CaseSource!$B$2:$B$371,""),"")</f>
        <v/>
      </c>
    </row>
    <row r="32" spans="1:12" x14ac:dyDescent="0.2">
      <c r="A32" t="s">
        <v>319</v>
      </c>
      <c r="B32" t="s">
        <v>87</v>
      </c>
      <c r="C32" t="s">
        <v>314</v>
      </c>
      <c r="D32" t="s">
        <v>31</v>
      </c>
      <c r="F32">
        <v>3</v>
      </c>
      <c r="G32" t="s">
        <v>61</v>
      </c>
      <c r="H32" t="s">
        <v>88</v>
      </c>
      <c r="I32" t="s">
        <v>21</v>
      </c>
      <c r="J32" t="s">
        <v>22</v>
      </c>
      <c r="K32" t="s">
        <v>98</v>
      </c>
      <c r="L32" t="str">
        <f ca="1">IFERROR(_xludf.XLOOKUP($G32&amp;"."&amp;$H32,CaseSource!$A$2:$A$371,CaseSource!$B$2:$B$371,""),"")</f>
        <v/>
      </c>
    </row>
    <row r="33" spans="1:12" x14ac:dyDescent="0.2">
      <c r="A33" t="s">
        <v>319</v>
      </c>
      <c r="B33" t="s">
        <v>87</v>
      </c>
      <c r="C33" t="s">
        <v>314</v>
      </c>
      <c r="D33" t="s">
        <v>31</v>
      </c>
      <c r="F33">
        <v>4</v>
      </c>
      <c r="G33" t="s">
        <v>24</v>
      </c>
      <c r="H33" t="s">
        <v>90</v>
      </c>
      <c r="I33" t="s">
        <v>21</v>
      </c>
      <c r="J33" t="s">
        <v>22</v>
      </c>
      <c r="K33" t="s">
        <v>98</v>
      </c>
      <c r="L33" t="str">
        <f ca="1">IFERROR(_xludf.XLOOKUP($G33&amp;"."&amp;$H33,CaseSource!$A$2:$A$371,CaseSource!$B$2:$B$371,""),"")</f>
        <v/>
      </c>
    </row>
    <row r="34" spans="1:12" x14ac:dyDescent="0.2">
      <c r="A34" t="s">
        <v>323</v>
      </c>
      <c r="B34" t="s">
        <v>87</v>
      </c>
      <c r="C34" t="s">
        <v>314</v>
      </c>
      <c r="D34" t="s">
        <v>31</v>
      </c>
      <c r="F34">
        <v>1</v>
      </c>
      <c r="G34" t="s">
        <v>64</v>
      </c>
      <c r="H34" t="s">
        <v>324</v>
      </c>
      <c r="I34" t="s">
        <v>21</v>
      </c>
      <c r="J34" t="s">
        <v>22</v>
      </c>
      <c r="K34" t="s">
        <v>98</v>
      </c>
      <c r="L34" t="str">
        <f ca="1">IFERROR(_xludf.XLOOKUP($G34&amp;"."&amp;$H34,CaseSource!$A$2:$A$371,CaseSource!$B$2:$B$371,""),"")</f>
        <v/>
      </c>
    </row>
    <row r="35" spans="1:12" x14ac:dyDescent="0.2">
      <c r="A35" t="s">
        <v>323</v>
      </c>
      <c r="B35" t="s">
        <v>87</v>
      </c>
      <c r="C35" t="s">
        <v>314</v>
      </c>
      <c r="D35" t="s">
        <v>31</v>
      </c>
      <c r="F35">
        <v>2</v>
      </c>
      <c r="G35" t="s">
        <v>61</v>
      </c>
      <c r="H35" t="s">
        <v>102</v>
      </c>
      <c r="I35" t="s">
        <v>21</v>
      </c>
      <c r="J35" t="s">
        <v>22</v>
      </c>
      <c r="K35" t="s">
        <v>98</v>
      </c>
      <c r="L35" t="str">
        <f ca="1">IFERROR(_xludf.XLOOKUP($G35&amp;"."&amp;$H35,CaseSource!$A$2:$A$371,CaseSource!$B$2:$B$371,""),"")</f>
        <v/>
      </c>
    </row>
    <row r="36" spans="1:12" x14ac:dyDescent="0.2">
      <c r="A36" t="s">
        <v>323</v>
      </c>
      <c r="B36" t="s">
        <v>87</v>
      </c>
      <c r="C36" t="s">
        <v>314</v>
      </c>
      <c r="D36" t="s">
        <v>31</v>
      </c>
      <c r="F36">
        <v>3</v>
      </c>
      <c r="G36" t="s">
        <v>24</v>
      </c>
      <c r="H36" t="s">
        <v>102</v>
      </c>
      <c r="I36" t="s">
        <v>21</v>
      </c>
      <c r="J36" t="s">
        <v>22</v>
      </c>
      <c r="K36" t="s">
        <v>98</v>
      </c>
      <c r="L36" t="str">
        <f ca="1">IFERROR(_xludf.XLOOKUP($G36&amp;"."&amp;$H36,CaseSource!$A$2:$A$371,CaseSource!$B$2:$B$371,""),"")</f>
        <v/>
      </c>
    </row>
    <row r="37" spans="1:12" x14ac:dyDescent="0.2">
      <c r="A37" t="s">
        <v>334</v>
      </c>
      <c r="D37" t="s">
        <v>31</v>
      </c>
      <c r="F37">
        <v>1</v>
      </c>
      <c r="G37" t="s">
        <v>24</v>
      </c>
      <c r="H37" t="s">
        <v>194</v>
      </c>
      <c r="I37" t="s">
        <v>21</v>
      </c>
      <c r="J37" t="s">
        <v>22</v>
      </c>
      <c r="K37" t="s">
        <v>126</v>
      </c>
      <c r="L37" t="str">
        <f ca="1">IFERROR(_xludf.XLOOKUP($G37&amp;"."&amp;$H37,CaseSource!$A$2:$A$371,CaseSource!$B$2:$B$371,""),"")</f>
        <v/>
      </c>
    </row>
    <row r="38" spans="1:12" x14ac:dyDescent="0.2">
      <c r="A38" t="s">
        <v>313</v>
      </c>
      <c r="B38" t="s">
        <v>87</v>
      </c>
      <c r="C38" t="s">
        <v>314</v>
      </c>
      <c r="D38" t="s">
        <v>31</v>
      </c>
      <c r="F38">
        <v>1</v>
      </c>
      <c r="G38" t="s">
        <v>64</v>
      </c>
      <c r="H38" t="s">
        <v>315</v>
      </c>
      <c r="I38" t="s">
        <v>21</v>
      </c>
      <c r="J38" t="s">
        <v>22</v>
      </c>
      <c r="K38" t="s">
        <v>98</v>
      </c>
      <c r="L38" t="str">
        <f ca="1">IFERROR(_xludf.XLOOKUP($G38&amp;"."&amp;$H38,CaseSource!$A$2:$A$371,CaseSource!$B$2:$B$371,""),"")</f>
        <v/>
      </c>
    </row>
    <row r="39" spans="1:12" x14ac:dyDescent="0.2">
      <c r="A39" t="s">
        <v>313</v>
      </c>
      <c r="B39" t="s">
        <v>87</v>
      </c>
      <c r="C39" t="s">
        <v>314</v>
      </c>
      <c r="D39" t="s">
        <v>31</v>
      </c>
      <c r="F39">
        <v>2</v>
      </c>
      <c r="G39" t="s">
        <v>64</v>
      </c>
      <c r="H39" t="s">
        <v>316</v>
      </c>
      <c r="I39" t="s">
        <v>21</v>
      </c>
      <c r="J39" t="s">
        <v>22</v>
      </c>
      <c r="K39" t="s">
        <v>98</v>
      </c>
      <c r="L39" t="str">
        <f ca="1">IFERROR(_xludf.XLOOKUP($G39&amp;"."&amp;$H39,CaseSource!$A$2:$A$371,CaseSource!$B$2:$B$371,""),"")</f>
        <v/>
      </c>
    </row>
    <row r="40" spans="1:12" x14ac:dyDescent="0.2">
      <c r="A40" t="s">
        <v>313</v>
      </c>
      <c r="B40" t="s">
        <v>87</v>
      </c>
      <c r="C40" t="s">
        <v>314</v>
      </c>
      <c r="D40" t="s">
        <v>31</v>
      </c>
      <c r="F40">
        <v>3</v>
      </c>
      <c r="G40" t="s">
        <v>61</v>
      </c>
      <c r="H40" t="s">
        <v>316</v>
      </c>
      <c r="I40" t="s">
        <v>21</v>
      </c>
      <c r="J40" t="s">
        <v>22</v>
      </c>
      <c r="K40" t="s">
        <v>98</v>
      </c>
      <c r="L40" t="str">
        <f ca="1">IFERROR(_xludf.XLOOKUP($G40&amp;"."&amp;$H40,CaseSource!$A$2:$A$371,CaseSource!$B$2:$B$371,""),"")</f>
        <v/>
      </c>
    </row>
    <row r="41" spans="1:12" x14ac:dyDescent="0.2">
      <c r="A41" t="s">
        <v>330</v>
      </c>
      <c r="B41" t="s">
        <v>87</v>
      </c>
      <c r="C41" t="s">
        <v>314</v>
      </c>
      <c r="D41" t="s">
        <v>31</v>
      </c>
      <c r="F41">
        <v>1</v>
      </c>
      <c r="G41" t="s">
        <v>24</v>
      </c>
      <c r="H41" t="s">
        <v>169</v>
      </c>
      <c r="I41" t="s">
        <v>21</v>
      </c>
      <c r="J41" t="s">
        <v>22</v>
      </c>
      <c r="K41" t="s">
        <v>126</v>
      </c>
      <c r="L41" t="str">
        <f ca="1">IFERROR(_xludf.XLOOKUP($G41&amp;"."&amp;$H41,CaseSource!$A$2:$A$371,CaseSource!$B$2:$B$371,""),"")</f>
        <v/>
      </c>
    </row>
    <row r="42" spans="1:12" x14ac:dyDescent="0.2">
      <c r="A42" t="s">
        <v>330</v>
      </c>
      <c r="B42" t="s">
        <v>87</v>
      </c>
      <c r="C42" t="s">
        <v>314</v>
      </c>
      <c r="D42" t="s">
        <v>31</v>
      </c>
      <c r="F42">
        <v>2</v>
      </c>
      <c r="G42" t="s">
        <v>61</v>
      </c>
      <c r="H42" t="s">
        <v>331</v>
      </c>
      <c r="I42" t="s">
        <v>21</v>
      </c>
      <c r="J42" t="s">
        <v>22</v>
      </c>
      <c r="K42" t="s">
        <v>126</v>
      </c>
      <c r="L42" t="str">
        <f ca="1">IFERROR(_xludf.XLOOKUP($G42&amp;"."&amp;$H42,CaseSource!$A$2:$A$371,CaseSource!$B$2:$B$371,""),"")</f>
        <v/>
      </c>
    </row>
    <row r="43" spans="1:12" x14ac:dyDescent="0.2">
      <c r="A43" t="s">
        <v>333</v>
      </c>
      <c r="B43" t="s">
        <v>87</v>
      </c>
      <c r="C43" t="s">
        <v>314</v>
      </c>
      <c r="D43" t="s">
        <v>31</v>
      </c>
      <c r="F43">
        <v>1</v>
      </c>
      <c r="G43" t="s">
        <v>64</v>
      </c>
      <c r="H43" t="s">
        <v>191</v>
      </c>
      <c r="I43" t="s">
        <v>21</v>
      </c>
      <c r="J43" t="s">
        <v>22</v>
      </c>
      <c r="K43" t="s">
        <v>98</v>
      </c>
      <c r="L43" t="str">
        <f ca="1">IFERROR(_xludf.XLOOKUP($G43&amp;"."&amp;$H43,CaseSource!$A$2:$A$371,CaseSource!$B$2:$B$371,""),"")</f>
        <v/>
      </c>
    </row>
    <row r="44" spans="1:12" x14ac:dyDescent="0.2">
      <c r="A44" t="s">
        <v>325</v>
      </c>
      <c r="B44" t="s">
        <v>87</v>
      </c>
      <c r="C44" t="s">
        <v>314</v>
      </c>
      <c r="D44" t="s">
        <v>31</v>
      </c>
      <c r="F44">
        <v>1</v>
      </c>
      <c r="G44" t="s">
        <v>64</v>
      </c>
      <c r="H44" t="s">
        <v>326</v>
      </c>
      <c r="I44" t="s">
        <v>21</v>
      </c>
      <c r="J44" t="s">
        <v>22</v>
      </c>
      <c r="K44" t="s">
        <v>252</v>
      </c>
      <c r="L44" t="str">
        <f ca="1">IFERROR(_xludf.XLOOKUP($G44&amp;"."&amp;$H44,CaseSource!$A$2:$A$371,CaseSource!$B$2:$B$371,""),"")</f>
        <v/>
      </c>
    </row>
    <row r="45" spans="1:12" x14ac:dyDescent="0.2">
      <c r="A45" t="s">
        <v>325</v>
      </c>
      <c r="B45" t="s">
        <v>87</v>
      </c>
      <c r="C45" t="s">
        <v>314</v>
      </c>
      <c r="D45" t="s">
        <v>31</v>
      </c>
      <c r="F45">
        <v>2</v>
      </c>
      <c r="G45" t="s">
        <v>24</v>
      </c>
      <c r="H45" t="s">
        <v>156</v>
      </c>
      <c r="I45" t="s">
        <v>21</v>
      </c>
      <c r="J45" t="s">
        <v>22</v>
      </c>
      <c r="K45" t="s">
        <v>252</v>
      </c>
      <c r="L45" t="str">
        <f ca="1">IFERROR(_xludf.XLOOKUP($G45&amp;"."&amp;$H45,CaseSource!$A$2:$A$371,CaseSource!$B$2:$B$371,""),"")</f>
        <v/>
      </c>
    </row>
    <row r="46" spans="1:12" x14ac:dyDescent="0.2">
      <c r="A46" t="s">
        <v>332</v>
      </c>
      <c r="B46" t="s">
        <v>87</v>
      </c>
      <c r="C46" t="s">
        <v>314</v>
      </c>
      <c r="D46" t="s">
        <v>31</v>
      </c>
      <c r="F46">
        <v>1</v>
      </c>
      <c r="G46" t="s">
        <v>24</v>
      </c>
      <c r="H46" t="s">
        <v>173</v>
      </c>
      <c r="I46" t="s">
        <v>21</v>
      </c>
      <c r="J46" t="s">
        <v>22</v>
      </c>
      <c r="K46" t="s">
        <v>160</v>
      </c>
      <c r="L46" t="str">
        <f ca="1">IFERROR(_xludf.XLOOKUP($G46&amp;"."&amp;$H46,CaseSource!$A$2:$A$371,CaseSource!$B$2:$B$371,""),"")</f>
        <v/>
      </c>
    </row>
    <row r="47" spans="1:12" x14ac:dyDescent="0.2">
      <c r="A47" t="s">
        <v>332</v>
      </c>
      <c r="B47" t="s">
        <v>87</v>
      </c>
      <c r="C47" t="s">
        <v>314</v>
      </c>
      <c r="D47" t="s">
        <v>31</v>
      </c>
      <c r="F47">
        <v>2</v>
      </c>
      <c r="G47" t="s">
        <v>61</v>
      </c>
      <c r="H47" t="s">
        <v>173</v>
      </c>
      <c r="I47" t="s">
        <v>21</v>
      </c>
      <c r="J47" t="s">
        <v>22</v>
      </c>
      <c r="K47" t="s">
        <v>160</v>
      </c>
      <c r="L47" t="str">
        <f ca="1">IFERROR(_xludf.XLOOKUP($G47&amp;"."&amp;$H47,CaseSource!$A$2:$A$371,CaseSource!$B$2:$B$371,""),"")</f>
        <v/>
      </c>
    </row>
    <row r="48" spans="1:12" x14ac:dyDescent="0.2">
      <c r="A48" t="s">
        <v>321</v>
      </c>
      <c r="B48" t="s">
        <v>87</v>
      </c>
      <c r="C48" t="s">
        <v>314</v>
      </c>
      <c r="D48" t="s">
        <v>31</v>
      </c>
      <c r="F48">
        <v>1</v>
      </c>
      <c r="G48" t="s">
        <v>64</v>
      </c>
      <c r="H48" t="s">
        <v>322</v>
      </c>
      <c r="I48" t="s">
        <v>21</v>
      </c>
      <c r="J48" t="s">
        <v>22</v>
      </c>
      <c r="K48" t="s">
        <v>98</v>
      </c>
      <c r="L48" t="str">
        <f ca="1">IFERROR(_xludf.XLOOKUP($G48&amp;"."&amp;$H48,CaseSource!$A$2:$A$371,CaseSource!$B$2:$B$371,""),"")</f>
        <v/>
      </c>
    </row>
    <row r="49" spans="1:12" x14ac:dyDescent="0.2">
      <c r="A49" t="s">
        <v>321</v>
      </c>
      <c r="B49" t="s">
        <v>87</v>
      </c>
      <c r="C49" t="s">
        <v>314</v>
      </c>
      <c r="D49" t="s">
        <v>31</v>
      </c>
      <c r="F49">
        <v>2</v>
      </c>
      <c r="G49" t="s">
        <v>61</v>
      </c>
      <c r="H49" t="s">
        <v>99</v>
      </c>
      <c r="I49" t="s">
        <v>21</v>
      </c>
      <c r="J49" t="s">
        <v>22</v>
      </c>
      <c r="K49" t="s">
        <v>98</v>
      </c>
      <c r="L49" t="str">
        <f ca="1">IFERROR(_xludf.XLOOKUP($G49&amp;"."&amp;$H49,CaseSource!$A$2:$A$371,CaseSource!$B$2:$B$371,""),"")</f>
        <v/>
      </c>
    </row>
    <row r="50" spans="1:12" x14ac:dyDescent="0.2">
      <c r="A50" t="s">
        <v>321</v>
      </c>
      <c r="B50" t="s">
        <v>87</v>
      </c>
      <c r="C50" t="s">
        <v>314</v>
      </c>
      <c r="D50" t="s">
        <v>31</v>
      </c>
      <c r="F50">
        <v>3</v>
      </c>
      <c r="G50" t="s">
        <v>24</v>
      </c>
      <c r="H50" t="s">
        <v>99</v>
      </c>
      <c r="I50" t="s">
        <v>21</v>
      </c>
      <c r="J50" t="s">
        <v>22</v>
      </c>
      <c r="K50" t="s">
        <v>98</v>
      </c>
      <c r="L50" t="str">
        <f ca="1">IFERROR(_xludf.XLOOKUP($G50&amp;"."&amp;$H50,CaseSource!$A$2:$A$371,CaseSource!$B$2:$B$371,""),"")</f>
        <v/>
      </c>
    </row>
    <row r="51" spans="1:12" x14ac:dyDescent="0.2">
      <c r="A51" t="s">
        <v>317</v>
      </c>
      <c r="B51" t="s">
        <v>87</v>
      </c>
      <c r="C51" t="s">
        <v>314</v>
      </c>
      <c r="D51" t="s">
        <v>31</v>
      </c>
      <c r="F51">
        <v>1</v>
      </c>
      <c r="G51" t="s">
        <v>64</v>
      </c>
      <c r="H51" t="s">
        <v>318</v>
      </c>
      <c r="I51" t="s">
        <v>21</v>
      </c>
      <c r="J51" t="s">
        <v>22</v>
      </c>
      <c r="K51" t="s">
        <v>98</v>
      </c>
      <c r="L51" t="str">
        <f ca="1">IFERROR(_xludf.XLOOKUP($G51&amp;"."&amp;$H51,CaseSource!$A$2:$A$371,CaseSource!$B$2:$B$371,""),"")</f>
        <v/>
      </c>
    </row>
    <row r="52" spans="1:12" x14ac:dyDescent="0.2">
      <c r="A52" t="s">
        <v>317</v>
      </c>
      <c r="B52" t="s">
        <v>87</v>
      </c>
      <c r="C52" t="s">
        <v>314</v>
      </c>
      <c r="D52" t="s">
        <v>31</v>
      </c>
      <c r="F52">
        <v>2</v>
      </c>
      <c r="G52" t="s">
        <v>61</v>
      </c>
      <c r="H52" t="s">
        <v>73</v>
      </c>
      <c r="I52" t="s">
        <v>21</v>
      </c>
      <c r="J52" t="s">
        <v>22</v>
      </c>
      <c r="K52" t="s">
        <v>98</v>
      </c>
      <c r="L52" t="str">
        <f ca="1">IFERROR(_xludf.XLOOKUP($G52&amp;"."&amp;$H52,CaseSource!$A$2:$A$371,CaseSource!$B$2:$B$371,""),"")</f>
        <v/>
      </c>
    </row>
    <row r="53" spans="1:12" x14ac:dyDescent="0.2">
      <c r="A53" t="s">
        <v>317</v>
      </c>
      <c r="B53" t="s">
        <v>87</v>
      </c>
      <c r="C53" t="s">
        <v>314</v>
      </c>
      <c r="D53" t="s">
        <v>31</v>
      </c>
      <c r="F53">
        <v>3</v>
      </c>
      <c r="G53" t="s">
        <v>61</v>
      </c>
      <c r="H53" t="s">
        <v>62</v>
      </c>
      <c r="I53" t="s">
        <v>21</v>
      </c>
      <c r="J53" t="s">
        <v>22</v>
      </c>
      <c r="K53" t="s">
        <v>98</v>
      </c>
      <c r="L53" t="str">
        <f ca="1">IFERROR(_xludf.XLOOKUP($G53&amp;"."&amp;$H53,CaseSource!$A$2:$A$371,CaseSource!$B$2:$B$371,""),"")</f>
        <v/>
      </c>
    </row>
    <row r="54" spans="1:12" x14ac:dyDescent="0.2">
      <c r="A54" t="s">
        <v>317</v>
      </c>
      <c r="B54" t="s">
        <v>87</v>
      </c>
      <c r="C54" t="s">
        <v>314</v>
      </c>
      <c r="D54" t="s">
        <v>31</v>
      </c>
      <c r="F54">
        <v>4</v>
      </c>
      <c r="G54" t="s">
        <v>24</v>
      </c>
      <c r="H54" t="s">
        <v>66</v>
      </c>
      <c r="I54" t="s">
        <v>21</v>
      </c>
      <c r="J54" t="s">
        <v>22</v>
      </c>
      <c r="K54" t="s">
        <v>98</v>
      </c>
      <c r="L54" t="str">
        <f ca="1">IFERROR(_xludf.XLOOKUP($G54&amp;"."&amp;$H54,CaseSource!$A$2:$A$371,CaseSource!$B$2:$B$371,""),"")</f>
        <v/>
      </c>
    </row>
    <row r="55" spans="1:12" x14ac:dyDescent="0.2">
      <c r="A55" t="s">
        <v>317</v>
      </c>
      <c r="B55" t="s">
        <v>87</v>
      </c>
      <c r="C55" t="s">
        <v>314</v>
      </c>
      <c r="D55" t="s">
        <v>31</v>
      </c>
      <c r="F55">
        <v>5</v>
      </c>
      <c r="G55" t="s">
        <v>24</v>
      </c>
      <c r="H55" t="s">
        <v>67</v>
      </c>
      <c r="I55" t="s">
        <v>21</v>
      </c>
      <c r="J55" t="s">
        <v>22</v>
      </c>
      <c r="K55" t="s">
        <v>98</v>
      </c>
      <c r="L55" t="str">
        <f ca="1">IFERROR(_xludf.XLOOKUP($G55&amp;"."&amp;$H55,CaseSource!$A$2:$A$371,CaseSource!$B$2:$B$371,""),"")</f>
        <v/>
      </c>
    </row>
    <row r="56" spans="1:12" x14ac:dyDescent="0.2">
      <c r="A56" t="s">
        <v>184</v>
      </c>
      <c r="B56" t="s">
        <v>87</v>
      </c>
      <c r="C56" t="s">
        <v>182</v>
      </c>
      <c r="D56" t="s">
        <v>31</v>
      </c>
      <c r="F56">
        <v>1</v>
      </c>
      <c r="G56" t="s">
        <v>24</v>
      </c>
      <c r="H56" t="s">
        <v>185</v>
      </c>
      <c r="I56" t="s">
        <v>21</v>
      </c>
      <c r="J56" t="s">
        <v>22</v>
      </c>
      <c r="K56" t="s">
        <v>160</v>
      </c>
      <c r="L56" t="str">
        <f ca="1">IFERROR(_xludf.XLOOKUP($G56&amp;"."&amp;$H56,CaseSource!$A$2:$A$371,CaseSource!$B$2:$B$371,""),"")</f>
        <v/>
      </c>
    </row>
    <row r="57" spans="1:12" x14ac:dyDescent="0.2">
      <c r="A57" t="s">
        <v>184</v>
      </c>
      <c r="B57" t="s">
        <v>87</v>
      </c>
      <c r="C57" t="s">
        <v>182</v>
      </c>
      <c r="D57" t="s">
        <v>31</v>
      </c>
      <c r="F57">
        <v>2</v>
      </c>
      <c r="G57" t="s">
        <v>24</v>
      </c>
      <c r="H57" t="s">
        <v>186</v>
      </c>
      <c r="I57" t="s">
        <v>21</v>
      </c>
      <c r="J57" t="s">
        <v>22</v>
      </c>
      <c r="K57" t="s">
        <v>160</v>
      </c>
      <c r="L57" t="str">
        <f ca="1">IFERROR(_xludf.XLOOKUP($G57&amp;"."&amp;$H57,CaseSource!$A$2:$A$371,CaseSource!$B$2:$B$371,""),"")</f>
        <v/>
      </c>
    </row>
    <row r="58" spans="1:12" x14ac:dyDescent="0.2">
      <c r="A58" t="s">
        <v>39</v>
      </c>
      <c r="B58" t="s">
        <v>40</v>
      </c>
      <c r="C58" t="s">
        <v>16</v>
      </c>
      <c r="D58" t="s">
        <v>31</v>
      </c>
      <c r="E58" t="s">
        <v>41</v>
      </c>
      <c r="F58">
        <v>1</v>
      </c>
      <c r="G58" t="s">
        <v>19</v>
      </c>
      <c r="H58" t="s">
        <v>42</v>
      </c>
      <c r="I58" t="s">
        <v>21</v>
      </c>
      <c r="J58" t="s">
        <v>22</v>
      </c>
      <c r="K58" t="s">
        <v>43</v>
      </c>
      <c r="L58" t="str">
        <f ca="1">IFERROR(_xludf.XLOOKUP($G58&amp;"."&amp;$H58,CaseSource!$A$2:$A$371,CaseSource!$B$2:$B$371,""),"")</f>
        <v/>
      </c>
    </row>
    <row r="59" spans="1:12" x14ac:dyDescent="0.2">
      <c r="A59" t="s">
        <v>39</v>
      </c>
      <c r="B59" t="s">
        <v>40</v>
      </c>
      <c r="C59" t="s">
        <v>16</v>
      </c>
      <c r="D59" t="s">
        <v>31</v>
      </c>
      <c r="E59" t="s">
        <v>41</v>
      </c>
      <c r="F59">
        <v>2</v>
      </c>
      <c r="G59" t="s">
        <v>44</v>
      </c>
      <c r="H59" t="s">
        <v>42</v>
      </c>
      <c r="I59" t="s">
        <v>21</v>
      </c>
      <c r="J59" t="s">
        <v>22</v>
      </c>
      <c r="K59" t="s">
        <v>43</v>
      </c>
      <c r="L59" t="str">
        <f ca="1">IFERROR(_xludf.XLOOKUP($G59&amp;"."&amp;$H59,CaseSource!$A$2:$A$371,CaseSource!$B$2:$B$371,""),"")</f>
        <v/>
      </c>
    </row>
    <row r="60" spans="1:12" x14ac:dyDescent="0.2">
      <c r="A60" t="s">
        <v>39</v>
      </c>
      <c r="B60" t="s">
        <v>40</v>
      </c>
      <c r="C60" t="s">
        <v>16</v>
      </c>
      <c r="D60" t="s">
        <v>31</v>
      </c>
      <c r="E60" t="s">
        <v>41</v>
      </c>
      <c r="F60">
        <v>3</v>
      </c>
      <c r="G60" t="s">
        <v>19</v>
      </c>
      <c r="H60" t="s">
        <v>45</v>
      </c>
      <c r="I60" t="s">
        <v>21</v>
      </c>
      <c r="J60" t="s">
        <v>22</v>
      </c>
      <c r="K60" t="s">
        <v>43</v>
      </c>
      <c r="L60" t="str">
        <f ca="1">IFERROR(_xludf.XLOOKUP($G60&amp;"."&amp;$H60,CaseSource!$A$2:$A$371,CaseSource!$B$2:$B$371,""),"")</f>
        <v/>
      </c>
    </row>
    <row r="61" spans="1:12" x14ac:dyDescent="0.2">
      <c r="A61" t="s">
        <v>39</v>
      </c>
      <c r="B61" t="s">
        <v>40</v>
      </c>
      <c r="C61" t="s">
        <v>16</v>
      </c>
      <c r="D61" t="s">
        <v>31</v>
      </c>
      <c r="E61" t="s">
        <v>41</v>
      </c>
      <c r="F61">
        <v>4</v>
      </c>
      <c r="G61" t="s">
        <v>44</v>
      </c>
      <c r="H61" t="s">
        <v>45</v>
      </c>
      <c r="I61" t="s">
        <v>21</v>
      </c>
      <c r="J61" t="s">
        <v>22</v>
      </c>
      <c r="K61" t="s">
        <v>43</v>
      </c>
      <c r="L61" t="str">
        <f ca="1">IFERROR(_xludf.XLOOKUP($G61&amp;"."&amp;$H61,CaseSource!$A$2:$A$371,CaseSource!$B$2:$B$371,""),"")</f>
        <v/>
      </c>
    </row>
    <row r="62" spans="1:12" x14ac:dyDescent="0.2">
      <c r="A62" t="s">
        <v>39</v>
      </c>
      <c r="B62" t="s">
        <v>40</v>
      </c>
      <c r="C62" t="s">
        <v>16</v>
      </c>
      <c r="D62" t="s">
        <v>31</v>
      </c>
      <c r="E62" t="s">
        <v>41</v>
      </c>
      <c r="F62">
        <v>5</v>
      </c>
      <c r="G62" t="s">
        <v>19</v>
      </c>
      <c r="H62" t="s">
        <v>46</v>
      </c>
      <c r="I62" t="s">
        <v>21</v>
      </c>
      <c r="J62" t="s">
        <v>22</v>
      </c>
      <c r="K62" t="s">
        <v>43</v>
      </c>
      <c r="L62" t="str">
        <f ca="1">IFERROR(_xludf.XLOOKUP($G62&amp;"."&amp;$H62,CaseSource!$A$2:$A$371,CaseSource!$B$2:$B$371,""),"")</f>
        <v/>
      </c>
    </row>
    <row r="63" spans="1:12" x14ac:dyDescent="0.2">
      <c r="A63" t="s">
        <v>39</v>
      </c>
      <c r="B63" t="s">
        <v>40</v>
      </c>
      <c r="C63" t="s">
        <v>16</v>
      </c>
      <c r="D63" t="s">
        <v>31</v>
      </c>
      <c r="E63" t="s">
        <v>41</v>
      </c>
      <c r="F63">
        <v>6</v>
      </c>
      <c r="G63" t="s">
        <v>19</v>
      </c>
      <c r="H63" t="s">
        <v>47</v>
      </c>
      <c r="I63" t="s">
        <v>21</v>
      </c>
      <c r="J63" t="s">
        <v>22</v>
      </c>
      <c r="K63" t="s">
        <v>43</v>
      </c>
      <c r="L63" t="str">
        <f ca="1">IFERROR(_xludf.XLOOKUP($G63&amp;"."&amp;$H63,CaseSource!$A$2:$A$371,CaseSource!$B$2:$B$371,""),"")</f>
        <v/>
      </c>
    </row>
    <row r="64" spans="1:12" x14ac:dyDescent="0.2">
      <c r="A64" t="s">
        <v>48</v>
      </c>
      <c r="B64" t="s">
        <v>15</v>
      </c>
      <c r="C64" t="s">
        <v>49</v>
      </c>
      <c r="D64" t="s">
        <v>31</v>
      </c>
      <c r="F64">
        <v>1</v>
      </c>
      <c r="G64" t="s">
        <v>19</v>
      </c>
      <c r="H64" t="s">
        <v>50</v>
      </c>
      <c r="I64" t="s">
        <v>21</v>
      </c>
      <c r="J64" t="s">
        <v>22</v>
      </c>
      <c r="K64" t="s">
        <v>51</v>
      </c>
      <c r="L64" t="str">
        <f ca="1">IFERROR(_xludf.XLOOKUP($G64&amp;"."&amp;$H64,CaseSource!$A$2:$A$371,CaseSource!$B$2:$B$371,""),"")</f>
        <v/>
      </c>
    </row>
    <row r="65" spans="1:12" x14ac:dyDescent="0.2">
      <c r="A65" t="s">
        <v>48</v>
      </c>
      <c r="B65" t="s">
        <v>15</v>
      </c>
      <c r="C65" t="s">
        <v>49</v>
      </c>
      <c r="D65" t="s">
        <v>31</v>
      </c>
      <c r="F65">
        <v>2</v>
      </c>
      <c r="G65" t="s">
        <v>24</v>
      </c>
      <c r="H65" t="s">
        <v>52</v>
      </c>
      <c r="I65" t="s">
        <v>21</v>
      </c>
      <c r="J65" t="s">
        <v>22</v>
      </c>
      <c r="K65" t="s">
        <v>51</v>
      </c>
      <c r="L65" t="str">
        <f ca="1">IFERROR(_xludf.XLOOKUP($G65&amp;"."&amp;$H65,CaseSource!$A$2:$A$371,CaseSource!$B$2:$B$371,""),"")</f>
        <v/>
      </c>
    </row>
    <row r="66" spans="1:12" x14ac:dyDescent="0.2">
      <c r="A66" t="s">
        <v>230</v>
      </c>
      <c r="B66" t="s">
        <v>15</v>
      </c>
      <c r="C66" t="s">
        <v>54</v>
      </c>
      <c r="D66" t="s">
        <v>31</v>
      </c>
      <c r="F66">
        <v>1</v>
      </c>
      <c r="G66" t="s">
        <v>19</v>
      </c>
      <c r="H66" t="s">
        <v>231</v>
      </c>
      <c r="I66" t="s">
        <v>21</v>
      </c>
      <c r="J66" t="s">
        <v>22</v>
      </c>
      <c r="K66" t="s">
        <v>232</v>
      </c>
      <c r="L66" t="str">
        <f ca="1">IFERROR(_xludf.XLOOKUP($G66&amp;"."&amp;$H66,CaseSource!$A$2:$A$371,CaseSource!$B$2:$B$371,""),"")</f>
        <v/>
      </c>
    </row>
    <row r="67" spans="1:12" x14ac:dyDescent="0.2">
      <c r="A67" t="s">
        <v>277</v>
      </c>
      <c r="B67" t="s">
        <v>278</v>
      </c>
      <c r="C67" t="s">
        <v>279</v>
      </c>
      <c r="D67" t="s">
        <v>31</v>
      </c>
      <c r="F67">
        <v>1</v>
      </c>
      <c r="G67" t="s">
        <v>19</v>
      </c>
      <c r="H67" t="s">
        <v>45</v>
      </c>
      <c r="I67" t="s">
        <v>21</v>
      </c>
      <c r="J67" t="s">
        <v>22</v>
      </c>
      <c r="K67" t="s">
        <v>280</v>
      </c>
      <c r="L67" t="str">
        <f ca="1">IFERROR(_xludf.XLOOKUP($G67&amp;"."&amp;$H67,CaseSource!$A$2:$A$371,CaseSource!$B$2:$B$371,""),"")</f>
        <v/>
      </c>
    </row>
    <row r="68" spans="1:12" x14ac:dyDescent="0.2">
      <c r="A68" t="s">
        <v>277</v>
      </c>
      <c r="B68" t="s">
        <v>278</v>
      </c>
      <c r="C68" t="s">
        <v>279</v>
      </c>
      <c r="D68" t="s">
        <v>31</v>
      </c>
      <c r="F68">
        <v>2</v>
      </c>
      <c r="G68" t="s">
        <v>44</v>
      </c>
      <c r="H68" t="s">
        <v>45</v>
      </c>
      <c r="I68" t="s">
        <v>21</v>
      </c>
      <c r="J68" t="s">
        <v>22</v>
      </c>
      <c r="K68" t="s">
        <v>280</v>
      </c>
      <c r="L68" t="str">
        <f ca="1">IFERROR(_xludf.XLOOKUP($G68&amp;"."&amp;$H68,CaseSource!$A$2:$A$371,CaseSource!$B$2:$B$371,""),"")</f>
        <v/>
      </c>
    </row>
    <row r="69" spans="1:12" x14ac:dyDescent="0.2">
      <c r="A69" t="s">
        <v>168</v>
      </c>
      <c r="B69" t="s">
        <v>15</v>
      </c>
      <c r="C69" t="s">
        <v>166</v>
      </c>
      <c r="D69" t="s">
        <v>31</v>
      </c>
      <c r="F69">
        <v>1</v>
      </c>
      <c r="G69" t="s">
        <v>24</v>
      </c>
      <c r="H69" t="s">
        <v>169</v>
      </c>
      <c r="I69" t="s">
        <v>21</v>
      </c>
      <c r="J69" t="s">
        <v>22</v>
      </c>
      <c r="K69" t="s">
        <v>126</v>
      </c>
      <c r="L69" t="str">
        <f ca="1">IFERROR(_xludf.XLOOKUP($G69&amp;"."&amp;$H69,CaseSource!$A$2:$A$371,CaseSource!$B$2:$B$371,""),"")</f>
        <v/>
      </c>
    </row>
    <row r="70" spans="1:12" x14ac:dyDescent="0.2">
      <c r="A70" t="s">
        <v>189</v>
      </c>
      <c r="B70" t="s">
        <v>87</v>
      </c>
      <c r="C70" t="s">
        <v>190</v>
      </c>
      <c r="D70" t="s">
        <v>31</v>
      </c>
      <c r="F70">
        <v>1</v>
      </c>
      <c r="G70" t="s">
        <v>64</v>
      </c>
      <c r="H70" t="s">
        <v>191</v>
      </c>
      <c r="I70" t="s">
        <v>21</v>
      </c>
      <c r="J70" t="s">
        <v>22</v>
      </c>
      <c r="K70" t="s">
        <v>98</v>
      </c>
      <c r="L70" t="str">
        <f ca="1">IFERROR(_xludf.XLOOKUP($G70&amp;"."&amp;$H70,CaseSource!$A$2:$A$371,CaseSource!$B$2:$B$371,""),"")</f>
        <v/>
      </c>
    </row>
    <row r="71" spans="1:12" x14ac:dyDescent="0.2">
      <c r="A71" t="s">
        <v>189</v>
      </c>
      <c r="B71" t="s">
        <v>87</v>
      </c>
      <c r="C71" t="s">
        <v>190</v>
      </c>
      <c r="D71" t="s">
        <v>31</v>
      </c>
      <c r="F71">
        <v>2</v>
      </c>
      <c r="G71" t="s">
        <v>24</v>
      </c>
      <c r="H71" t="s">
        <v>192</v>
      </c>
      <c r="I71" t="s">
        <v>21</v>
      </c>
      <c r="J71" t="s">
        <v>22</v>
      </c>
      <c r="K71" t="s">
        <v>98</v>
      </c>
      <c r="L71" t="str">
        <f ca="1">IFERROR(_xludf.XLOOKUP($G71&amp;"."&amp;$H71,CaseSource!$A$2:$A$371,CaseSource!$B$2:$B$371,""),"")</f>
        <v/>
      </c>
    </row>
    <row r="72" spans="1:12" x14ac:dyDescent="0.2">
      <c r="A72" t="s">
        <v>270</v>
      </c>
      <c r="B72" t="s">
        <v>130</v>
      </c>
      <c r="C72" t="s">
        <v>146</v>
      </c>
      <c r="D72" t="s">
        <v>31</v>
      </c>
      <c r="F72">
        <v>1</v>
      </c>
      <c r="G72" t="s">
        <v>224</v>
      </c>
      <c r="H72" t="s">
        <v>236</v>
      </c>
      <c r="I72" t="s">
        <v>21</v>
      </c>
      <c r="J72" t="s">
        <v>22</v>
      </c>
      <c r="K72" t="s">
        <v>235</v>
      </c>
      <c r="L72" t="str">
        <f ca="1">IFERROR(_xludf.XLOOKUP($G72&amp;"."&amp;$H72,CaseSource!$A$2:$A$371,CaseSource!$B$2:$B$371,""),"")</f>
        <v/>
      </c>
    </row>
    <row r="73" spans="1:12" x14ac:dyDescent="0.2">
      <c r="A73" t="s">
        <v>270</v>
      </c>
      <c r="B73" t="s">
        <v>130</v>
      </c>
      <c r="C73" t="s">
        <v>146</v>
      </c>
      <c r="D73" t="s">
        <v>31</v>
      </c>
      <c r="F73">
        <v>2</v>
      </c>
      <c r="G73" t="s">
        <v>19</v>
      </c>
      <c r="H73" t="s">
        <v>46</v>
      </c>
      <c r="I73" t="s">
        <v>21</v>
      </c>
      <c r="J73" t="s">
        <v>22</v>
      </c>
      <c r="K73" t="s">
        <v>235</v>
      </c>
      <c r="L73" t="str">
        <f ca="1">IFERROR(_xludf.XLOOKUP($G73&amp;"."&amp;$H73,CaseSource!$A$2:$A$371,CaseSource!$B$2:$B$371,""),"")</f>
        <v/>
      </c>
    </row>
    <row r="74" spans="1:12" x14ac:dyDescent="0.2">
      <c r="A74" t="s">
        <v>274</v>
      </c>
      <c r="B74" t="s">
        <v>130</v>
      </c>
      <c r="C74" t="s">
        <v>146</v>
      </c>
      <c r="D74" t="s">
        <v>31</v>
      </c>
      <c r="F74">
        <v>1</v>
      </c>
      <c r="G74" t="s">
        <v>224</v>
      </c>
      <c r="H74" t="s">
        <v>275</v>
      </c>
      <c r="I74" t="s">
        <v>21</v>
      </c>
      <c r="J74" t="s">
        <v>22</v>
      </c>
      <c r="K74" t="s">
        <v>98</v>
      </c>
      <c r="L74" t="str">
        <f ca="1">IFERROR(_xludf.XLOOKUP($G74&amp;"."&amp;$H74,CaseSource!$A$2:$A$371,CaseSource!$B$2:$B$371,""),"")</f>
        <v/>
      </c>
    </row>
    <row r="75" spans="1:12" x14ac:dyDescent="0.2">
      <c r="A75" t="s">
        <v>274</v>
      </c>
      <c r="B75" t="s">
        <v>130</v>
      </c>
      <c r="C75" t="s">
        <v>146</v>
      </c>
      <c r="D75" t="s">
        <v>31</v>
      </c>
      <c r="F75">
        <v>2</v>
      </c>
      <c r="G75" t="s">
        <v>19</v>
      </c>
      <c r="H75" t="s">
        <v>276</v>
      </c>
      <c r="I75" t="s">
        <v>21</v>
      </c>
      <c r="J75" t="s">
        <v>22</v>
      </c>
      <c r="K75" t="s">
        <v>98</v>
      </c>
      <c r="L75" t="str">
        <f ca="1">IFERROR(_xludf.XLOOKUP($G75&amp;"."&amp;$H75,CaseSource!$A$2:$A$371,CaseSource!$B$2:$B$371,""),"")</f>
        <v/>
      </c>
    </row>
    <row r="76" spans="1:12" x14ac:dyDescent="0.2">
      <c r="A76" t="s">
        <v>271</v>
      </c>
      <c r="B76" t="s">
        <v>130</v>
      </c>
      <c r="C76" t="s">
        <v>146</v>
      </c>
      <c r="D76" t="s">
        <v>31</v>
      </c>
      <c r="F76">
        <v>1</v>
      </c>
      <c r="G76" t="s">
        <v>224</v>
      </c>
      <c r="H76" t="s">
        <v>241</v>
      </c>
      <c r="I76" t="s">
        <v>21</v>
      </c>
      <c r="J76" t="s">
        <v>22</v>
      </c>
      <c r="K76" t="s">
        <v>272</v>
      </c>
      <c r="L76" t="str">
        <f ca="1">IFERROR(_xludf.XLOOKUP($G76&amp;"."&amp;$H76,CaseSource!$A$2:$A$371,CaseSource!$B$2:$B$371,""),"")</f>
        <v/>
      </c>
    </row>
    <row r="77" spans="1:12" x14ac:dyDescent="0.2">
      <c r="A77" t="s">
        <v>271</v>
      </c>
      <c r="B77" t="s">
        <v>130</v>
      </c>
      <c r="C77" t="s">
        <v>146</v>
      </c>
      <c r="D77" t="s">
        <v>31</v>
      </c>
      <c r="F77">
        <v>2</v>
      </c>
      <c r="G77" t="s">
        <v>19</v>
      </c>
      <c r="H77" t="s">
        <v>273</v>
      </c>
      <c r="I77" t="s">
        <v>21</v>
      </c>
      <c r="J77" t="s">
        <v>22</v>
      </c>
      <c r="K77" t="s">
        <v>272</v>
      </c>
      <c r="L77" t="str">
        <f ca="1">IFERROR(_xludf.XLOOKUP($G77&amp;"."&amp;$H77,CaseSource!$A$2:$A$371,CaseSource!$B$2:$B$371,""),"")</f>
        <v/>
      </c>
    </row>
    <row r="78" spans="1:12" x14ac:dyDescent="0.2">
      <c r="A78" t="s">
        <v>155</v>
      </c>
      <c r="B78" t="s">
        <v>87</v>
      </c>
      <c r="C78" t="s">
        <v>96</v>
      </c>
      <c r="D78" t="s">
        <v>31</v>
      </c>
      <c r="F78">
        <v>1</v>
      </c>
      <c r="G78" t="s">
        <v>24</v>
      </c>
      <c r="H78" t="s">
        <v>156</v>
      </c>
      <c r="I78" t="s">
        <v>21</v>
      </c>
      <c r="J78" t="s">
        <v>22</v>
      </c>
      <c r="K78" t="s">
        <v>157</v>
      </c>
      <c r="L78" t="str">
        <f ca="1">IFERROR(_xludf.XLOOKUP($G78&amp;"."&amp;$H78,CaseSource!$A$2:$A$371,CaseSource!$B$2:$B$371,""),"")</f>
        <v/>
      </c>
    </row>
    <row r="79" spans="1:12" x14ac:dyDescent="0.2">
      <c r="A79" t="s">
        <v>220</v>
      </c>
      <c r="B79" t="s">
        <v>87</v>
      </c>
      <c r="C79" t="s">
        <v>221</v>
      </c>
      <c r="D79" t="s">
        <v>222</v>
      </c>
      <c r="E79" t="s">
        <v>223</v>
      </c>
      <c r="F79">
        <v>1</v>
      </c>
      <c r="G79" t="s">
        <v>224</v>
      </c>
      <c r="H79" t="s">
        <v>225</v>
      </c>
      <c r="I79" t="s">
        <v>21</v>
      </c>
      <c r="J79" t="s">
        <v>22</v>
      </c>
      <c r="K79" t="s">
        <v>98</v>
      </c>
      <c r="L79" t="str">
        <f ca="1">IFERROR(_xludf.XLOOKUP($G79&amp;"."&amp;$H79,CaseSource!$A$2:$A$371,CaseSource!$B$2:$B$371,""),"")</f>
        <v/>
      </c>
    </row>
    <row r="80" spans="1:12" x14ac:dyDescent="0.2">
      <c r="A80" t="s">
        <v>220</v>
      </c>
      <c r="B80" t="s">
        <v>87</v>
      </c>
      <c r="C80" t="s">
        <v>221</v>
      </c>
      <c r="D80" t="s">
        <v>222</v>
      </c>
      <c r="E80" t="s">
        <v>223</v>
      </c>
      <c r="F80">
        <v>2</v>
      </c>
      <c r="G80" t="s">
        <v>19</v>
      </c>
      <c r="H80" t="s">
        <v>226</v>
      </c>
      <c r="I80" t="s">
        <v>21</v>
      </c>
      <c r="J80" t="s">
        <v>22</v>
      </c>
      <c r="K80" t="s">
        <v>98</v>
      </c>
      <c r="L80" t="str">
        <f ca="1">IFERROR(_xludf.XLOOKUP($G80&amp;"."&amp;$H80,CaseSource!$A$2:$A$371,CaseSource!$B$2:$B$371,""),"")</f>
        <v/>
      </c>
    </row>
    <row r="81" spans="1:12" x14ac:dyDescent="0.2">
      <c r="A81" t="s">
        <v>227</v>
      </c>
      <c r="B81" t="s">
        <v>40</v>
      </c>
      <c r="C81" t="s">
        <v>228</v>
      </c>
      <c r="D81" t="s">
        <v>31</v>
      </c>
      <c r="F81">
        <v>1</v>
      </c>
      <c r="G81" t="s">
        <v>19</v>
      </c>
      <c r="H81" t="s">
        <v>229</v>
      </c>
      <c r="I81" t="s">
        <v>21</v>
      </c>
      <c r="J81" t="s">
        <v>22</v>
      </c>
      <c r="K81" t="s">
        <v>98</v>
      </c>
      <c r="L81" t="str">
        <f ca="1">IFERROR(_xludf.XLOOKUP($G81&amp;"."&amp;$H81,CaseSource!$A$2:$A$371,CaseSource!$B$2:$B$371,""),"")</f>
        <v/>
      </c>
    </row>
    <row r="82" spans="1:12" x14ac:dyDescent="0.2">
      <c r="A82" t="s">
        <v>170</v>
      </c>
      <c r="B82" t="s">
        <v>87</v>
      </c>
      <c r="C82" t="s">
        <v>96</v>
      </c>
      <c r="D82" t="s">
        <v>31</v>
      </c>
      <c r="F82">
        <v>1</v>
      </c>
      <c r="G82" t="s">
        <v>24</v>
      </c>
      <c r="H82" t="s">
        <v>171</v>
      </c>
      <c r="I82" t="s">
        <v>21</v>
      </c>
      <c r="J82" t="s">
        <v>22</v>
      </c>
      <c r="K82" t="s">
        <v>160</v>
      </c>
      <c r="L82" t="str">
        <f ca="1">IFERROR(_xludf.XLOOKUP($G82&amp;"."&amp;$H82,CaseSource!$A$2:$A$371,CaseSource!$B$2:$B$371,""),"")</f>
        <v/>
      </c>
    </row>
    <row r="83" spans="1:12" x14ac:dyDescent="0.2">
      <c r="A83" t="s">
        <v>74</v>
      </c>
      <c r="B83" t="s">
        <v>15</v>
      </c>
      <c r="C83" t="s">
        <v>49</v>
      </c>
      <c r="D83" t="s">
        <v>31</v>
      </c>
      <c r="F83">
        <v>1</v>
      </c>
      <c r="G83" t="s">
        <v>24</v>
      </c>
      <c r="H83" t="s">
        <v>75</v>
      </c>
      <c r="I83" t="s">
        <v>21</v>
      </c>
      <c r="J83" t="s">
        <v>22</v>
      </c>
      <c r="K83" t="s">
        <v>76</v>
      </c>
      <c r="L83" t="str">
        <f ca="1">IFERROR(_xludf.XLOOKUP($G83&amp;"."&amp;$H83,CaseSource!$A$2:$A$371,CaseSource!$B$2:$B$371,""),"")</f>
        <v/>
      </c>
    </row>
    <row r="84" spans="1:12" x14ac:dyDescent="0.2">
      <c r="A84" t="s">
        <v>74</v>
      </c>
      <c r="B84" t="s">
        <v>15</v>
      </c>
      <c r="C84" t="s">
        <v>49</v>
      </c>
      <c r="D84" t="s">
        <v>31</v>
      </c>
      <c r="F84">
        <v>2</v>
      </c>
      <c r="G84" t="s">
        <v>24</v>
      </c>
      <c r="H84" t="s">
        <v>77</v>
      </c>
      <c r="I84" t="s">
        <v>21</v>
      </c>
      <c r="J84" t="s">
        <v>22</v>
      </c>
      <c r="K84" t="s">
        <v>76</v>
      </c>
      <c r="L84" t="str">
        <f ca="1">IFERROR(_xludf.XLOOKUP($G84&amp;"."&amp;$H84,CaseSource!$A$2:$A$371,CaseSource!$B$2:$B$371,""),"")</f>
        <v/>
      </c>
    </row>
    <row r="85" spans="1:12" x14ac:dyDescent="0.2">
      <c r="A85" t="s">
        <v>196</v>
      </c>
      <c r="B85" t="s">
        <v>87</v>
      </c>
      <c r="C85" t="s">
        <v>182</v>
      </c>
      <c r="D85" t="s">
        <v>31</v>
      </c>
      <c r="F85">
        <v>1</v>
      </c>
      <c r="G85" t="s">
        <v>24</v>
      </c>
      <c r="H85" t="s">
        <v>88</v>
      </c>
      <c r="I85" t="s">
        <v>21</v>
      </c>
      <c r="J85" t="s">
        <v>22</v>
      </c>
      <c r="K85" t="s">
        <v>98</v>
      </c>
      <c r="L85" t="str">
        <f ca="1">IFERROR(_xludf.XLOOKUP($G85&amp;"."&amp;$H85,CaseSource!$A$2:$A$371,CaseSource!$B$2:$B$371,""),"")</f>
        <v/>
      </c>
    </row>
    <row r="86" spans="1:12" x14ac:dyDescent="0.2">
      <c r="A86" t="s">
        <v>198</v>
      </c>
      <c r="B86" t="s">
        <v>87</v>
      </c>
      <c r="C86" t="s">
        <v>182</v>
      </c>
      <c r="D86" t="s">
        <v>31</v>
      </c>
      <c r="F86">
        <v>1</v>
      </c>
      <c r="G86" t="s">
        <v>24</v>
      </c>
      <c r="H86" t="s">
        <v>101</v>
      </c>
      <c r="I86" t="s">
        <v>21</v>
      </c>
      <c r="J86" t="s">
        <v>22</v>
      </c>
      <c r="K86" t="s">
        <v>98</v>
      </c>
      <c r="L86" t="str">
        <f ca="1">IFERROR(_xludf.XLOOKUP($G86&amp;"."&amp;$H86,CaseSource!$A$2:$A$371,CaseSource!$B$2:$B$371,""),"")</f>
        <v/>
      </c>
    </row>
    <row r="87" spans="1:12" x14ac:dyDescent="0.2">
      <c r="A87" t="s">
        <v>197</v>
      </c>
      <c r="B87" t="s">
        <v>87</v>
      </c>
      <c r="C87" t="s">
        <v>182</v>
      </c>
      <c r="D87" t="s">
        <v>31</v>
      </c>
      <c r="F87">
        <v>1</v>
      </c>
      <c r="G87" t="s">
        <v>24</v>
      </c>
      <c r="H87" t="s">
        <v>97</v>
      </c>
      <c r="I87" t="s">
        <v>21</v>
      </c>
      <c r="J87" t="s">
        <v>22</v>
      </c>
      <c r="K87" t="s">
        <v>98</v>
      </c>
      <c r="L87" t="str">
        <f ca="1">IFERROR(_xludf.XLOOKUP($G87&amp;"."&amp;$H87,CaseSource!$A$2:$A$371,CaseSource!$B$2:$B$371,""),"")</f>
        <v/>
      </c>
    </row>
    <row r="88" spans="1:12" x14ac:dyDescent="0.2">
      <c r="A88" t="s">
        <v>193</v>
      </c>
      <c r="B88" t="s">
        <v>87</v>
      </c>
      <c r="C88" t="s">
        <v>182</v>
      </c>
      <c r="D88" t="s">
        <v>31</v>
      </c>
      <c r="F88">
        <v>1</v>
      </c>
      <c r="G88" t="s">
        <v>24</v>
      </c>
      <c r="H88" t="s">
        <v>194</v>
      </c>
      <c r="I88" t="s">
        <v>21</v>
      </c>
      <c r="J88" t="s">
        <v>22</v>
      </c>
      <c r="K88" t="s">
        <v>126</v>
      </c>
      <c r="L88" t="str">
        <f ca="1">IFERROR(_xludf.XLOOKUP($G88&amp;"."&amp;$H88,CaseSource!$A$2:$A$371,CaseSource!$B$2:$B$371,""),"")</f>
        <v/>
      </c>
    </row>
    <row r="89" spans="1:12" x14ac:dyDescent="0.2">
      <c r="A89" t="s">
        <v>124</v>
      </c>
      <c r="B89" t="s">
        <v>87</v>
      </c>
      <c r="C89" t="s">
        <v>80</v>
      </c>
      <c r="D89" t="s">
        <v>31</v>
      </c>
      <c r="F89">
        <v>1</v>
      </c>
      <c r="G89" t="s">
        <v>19</v>
      </c>
      <c r="H89" t="s">
        <v>125</v>
      </c>
      <c r="I89" t="s">
        <v>21</v>
      </c>
      <c r="J89" t="s">
        <v>22</v>
      </c>
      <c r="K89" t="s">
        <v>126</v>
      </c>
      <c r="L89" t="str">
        <f ca="1">IFERROR(_xludf.XLOOKUP($G89&amp;"."&amp;$H89,CaseSource!$A$2:$A$371,CaseSource!$B$2:$B$371,""),"")</f>
        <v/>
      </c>
    </row>
    <row r="90" spans="1:12" x14ac:dyDescent="0.2">
      <c r="A90" t="s">
        <v>139</v>
      </c>
      <c r="B90" t="s">
        <v>15</v>
      </c>
      <c r="C90" t="s">
        <v>80</v>
      </c>
      <c r="D90" t="s">
        <v>31</v>
      </c>
      <c r="F90">
        <v>1</v>
      </c>
      <c r="G90" t="s">
        <v>19</v>
      </c>
      <c r="H90" t="s">
        <v>33</v>
      </c>
      <c r="I90" t="s">
        <v>21</v>
      </c>
      <c r="J90" t="s">
        <v>22</v>
      </c>
      <c r="K90" t="s">
        <v>126</v>
      </c>
      <c r="L90" t="str">
        <f ca="1">IFERROR(_xludf.XLOOKUP($G90&amp;"."&amp;$H90,CaseSource!$A$2:$A$371,CaseSource!$B$2:$B$371,""),"")</f>
        <v/>
      </c>
    </row>
    <row r="91" spans="1:12" x14ac:dyDescent="0.2">
      <c r="A91" t="s">
        <v>139</v>
      </c>
      <c r="B91" t="s">
        <v>15</v>
      </c>
      <c r="C91" t="s">
        <v>80</v>
      </c>
      <c r="D91" t="s">
        <v>31</v>
      </c>
      <c r="F91">
        <v>2</v>
      </c>
      <c r="G91" t="s">
        <v>19</v>
      </c>
      <c r="H91" t="s">
        <v>35</v>
      </c>
      <c r="I91" t="s">
        <v>21</v>
      </c>
      <c r="J91" t="s">
        <v>22</v>
      </c>
      <c r="K91" t="s">
        <v>126</v>
      </c>
      <c r="L91" t="str">
        <f ca="1">IFERROR(_xludf.XLOOKUP($G91&amp;"."&amp;$H91,CaseSource!$A$2:$A$371,CaseSource!$B$2:$B$371,""),"")</f>
        <v/>
      </c>
    </row>
    <row r="92" spans="1:12" x14ac:dyDescent="0.2">
      <c r="A92" t="s">
        <v>139</v>
      </c>
      <c r="B92" t="s">
        <v>15</v>
      </c>
      <c r="C92" t="s">
        <v>80</v>
      </c>
      <c r="D92" t="s">
        <v>31</v>
      </c>
      <c r="F92">
        <v>3</v>
      </c>
      <c r="G92" t="s">
        <v>24</v>
      </c>
      <c r="H92" t="s">
        <v>36</v>
      </c>
      <c r="I92" t="s">
        <v>21</v>
      </c>
      <c r="J92" t="s">
        <v>22</v>
      </c>
      <c r="K92" t="s">
        <v>126</v>
      </c>
      <c r="L92" t="str">
        <f ca="1">IFERROR(_xludf.XLOOKUP($G92&amp;"."&amp;$H92,CaseSource!$A$2:$A$371,CaseSource!$B$2:$B$371,""),"")</f>
        <v/>
      </c>
    </row>
    <row r="93" spans="1:12" x14ac:dyDescent="0.2">
      <c r="A93" t="s">
        <v>158</v>
      </c>
      <c r="B93" t="s">
        <v>87</v>
      </c>
      <c r="C93" t="s">
        <v>96</v>
      </c>
      <c r="D93" t="s">
        <v>31</v>
      </c>
      <c r="F93">
        <v>1</v>
      </c>
      <c r="G93" t="s">
        <v>24</v>
      </c>
      <c r="H93" t="s">
        <v>159</v>
      </c>
      <c r="I93" t="s">
        <v>21</v>
      </c>
      <c r="J93" t="s">
        <v>22</v>
      </c>
      <c r="K93" t="s">
        <v>160</v>
      </c>
      <c r="L93" t="str">
        <f ca="1">IFERROR(_xludf.XLOOKUP($G93&amp;"."&amp;$H93,CaseSource!$A$2:$A$371,CaseSource!$B$2:$B$371,""),"")</f>
        <v/>
      </c>
    </row>
    <row r="94" spans="1:12" x14ac:dyDescent="0.2">
      <c r="A94" t="s">
        <v>82</v>
      </c>
      <c r="B94" t="s">
        <v>15</v>
      </c>
      <c r="C94" t="s">
        <v>83</v>
      </c>
      <c r="D94" t="s">
        <v>31</v>
      </c>
      <c r="F94">
        <v>1</v>
      </c>
      <c r="G94" t="s">
        <v>24</v>
      </c>
      <c r="H94" t="s">
        <v>84</v>
      </c>
      <c r="I94" t="s">
        <v>21</v>
      </c>
      <c r="J94" t="s">
        <v>22</v>
      </c>
      <c r="K94" t="s">
        <v>85</v>
      </c>
      <c r="L94" t="str">
        <f ca="1">IFERROR(_xludf.XLOOKUP($G94&amp;"."&amp;$H94,CaseSource!$A$2:$A$371,CaseSource!$B$2:$B$371,""),"")</f>
        <v/>
      </c>
    </row>
    <row r="95" spans="1:12" x14ac:dyDescent="0.2">
      <c r="A95" t="s">
        <v>82</v>
      </c>
      <c r="B95" t="s">
        <v>15</v>
      </c>
      <c r="C95" t="s">
        <v>83</v>
      </c>
      <c r="D95" t="s">
        <v>31</v>
      </c>
      <c r="F95">
        <v>2</v>
      </c>
      <c r="G95" t="s">
        <v>19</v>
      </c>
      <c r="H95" t="s">
        <v>84</v>
      </c>
      <c r="I95" t="s">
        <v>21</v>
      </c>
      <c r="J95" t="s">
        <v>22</v>
      </c>
      <c r="K95" t="s">
        <v>85</v>
      </c>
      <c r="L95" t="str">
        <f ca="1">IFERROR(_xludf.XLOOKUP($G95&amp;"."&amp;$H95,CaseSource!$A$2:$A$371,CaseSource!$B$2:$B$371,""),"")</f>
        <v/>
      </c>
    </row>
    <row r="96" spans="1:12" x14ac:dyDescent="0.2">
      <c r="A96" t="s">
        <v>172</v>
      </c>
      <c r="B96" t="s">
        <v>15</v>
      </c>
      <c r="C96" t="s">
        <v>166</v>
      </c>
      <c r="D96" t="s">
        <v>31</v>
      </c>
      <c r="F96">
        <v>1</v>
      </c>
      <c r="G96" t="s">
        <v>24</v>
      </c>
      <c r="H96" t="s">
        <v>173</v>
      </c>
      <c r="I96" t="s">
        <v>21</v>
      </c>
      <c r="J96" t="s">
        <v>22</v>
      </c>
      <c r="K96" t="s">
        <v>174</v>
      </c>
      <c r="L96" t="str">
        <f ca="1">IFERROR(_xludf.XLOOKUP($G96&amp;"."&amp;$H96,CaseSource!$A$2:$A$371,CaseSource!$B$2:$B$371,""),"")</f>
        <v/>
      </c>
    </row>
    <row r="97" spans="1:12" x14ac:dyDescent="0.2">
      <c r="A97" t="s">
        <v>140</v>
      </c>
      <c r="B97" t="s">
        <v>87</v>
      </c>
      <c r="C97" t="s">
        <v>107</v>
      </c>
      <c r="D97" t="s">
        <v>31</v>
      </c>
      <c r="F97">
        <v>1</v>
      </c>
      <c r="G97" t="s">
        <v>19</v>
      </c>
      <c r="H97" t="s">
        <v>37</v>
      </c>
      <c r="I97" t="s">
        <v>21</v>
      </c>
      <c r="J97" t="s">
        <v>22</v>
      </c>
      <c r="K97" t="s">
        <v>141</v>
      </c>
      <c r="L97" t="str">
        <f ca="1">IFERROR(_xludf.XLOOKUP($G97&amp;"."&amp;$H97,CaseSource!$A$2:$A$371,CaseSource!$B$2:$B$371,""),"")</f>
        <v/>
      </c>
    </row>
    <row r="98" spans="1:12" x14ac:dyDescent="0.2">
      <c r="A98" t="s">
        <v>140</v>
      </c>
      <c r="B98" t="s">
        <v>87</v>
      </c>
      <c r="C98" t="s">
        <v>107</v>
      </c>
      <c r="D98" t="s">
        <v>31</v>
      </c>
      <c r="F98">
        <v>2</v>
      </c>
      <c r="G98" t="s">
        <v>24</v>
      </c>
      <c r="H98" t="s">
        <v>38</v>
      </c>
      <c r="I98" t="s">
        <v>21</v>
      </c>
      <c r="J98" t="s">
        <v>22</v>
      </c>
      <c r="K98" t="s">
        <v>141</v>
      </c>
      <c r="L98" t="str">
        <f ca="1">IFERROR(_xludf.XLOOKUP($G98&amp;"."&amp;$H98,CaseSource!$A$2:$A$371,CaseSource!$B$2:$B$371,""),"")</f>
        <v/>
      </c>
    </row>
    <row r="99" spans="1:12" x14ac:dyDescent="0.2">
      <c r="A99" t="s">
        <v>178</v>
      </c>
      <c r="B99" t="s">
        <v>87</v>
      </c>
      <c r="C99" t="s">
        <v>96</v>
      </c>
      <c r="D99" t="s">
        <v>31</v>
      </c>
      <c r="F99">
        <v>1</v>
      </c>
      <c r="G99" t="s">
        <v>24</v>
      </c>
      <c r="H99" t="s">
        <v>179</v>
      </c>
      <c r="I99" t="s">
        <v>21</v>
      </c>
      <c r="J99" t="s">
        <v>22</v>
      </c>
      <c r="K99" t="s">
        <v>98</v>
      </c>
      <c r="L99" t="str">
        <f ca="1">IFERROR(_xludf.XLOOKUP($G99&amp;"."&amp;$H99,CaseSource!$A$2:$A$371,CaseSource!$B$2:$B$371,""),"")</f>
        <v/>
      </c>
    </row>
    <row r="100" spans="1:12" x14ac:dyDescent="0.2">
      <c r="A100" t="s">
        <v>345</v>
      </c>
      <c r="B100" t="s">
        <v>130</v>
      </c>
      <c r="C100" t="s">
        <v>346</v>
      </c>
      <c r="D100" t="s">
        <v>31</v>
      </c>
      <c r="F100">
        <v>1</v>
      </c>
      <c r="G100" t="s">
        <v>347</v>
      </c>
      <c r="H100" t="s">
        <v>348</v>
      </c>
      <c r="I100" t="s">
        <v>21</v>
      </c>
      <c r="J100" t="s">
        <v>22</v>
      </c>
      <c r="K100" t="s">
        <v>349</v>
      </c>
      <c r="L100" t="str">
        <f ca="1">IFERROR(_xludf.XLOOKUP($G100&amp;"."&amp;$H100,CaseSource!$A$2:$A$371,CaseSource!$B$2:$B$371,""),"")</f>
        <v/>
      </c>
    </row>
    <row r="101" spans="1:12" x14ac:dyDescent="0.2">
      <c r="A101" t="s">
        <v>285</v>
      </c>
      <c r="B101" t="s">
        <v>278</v>
      </c>
      <c r="C101" t="s">
        <v>279</v>
      </c>
      <c r="D101" t="s">
        <v>31</v>
      </c>
      <c r="F101">
        <v>1</v>
      </c>
      <c r="G101" t="s">
        <v>282</v>
      </c>
      <c r="H101" t="s">
        <v>286</v>
      </c>
      <c r="I101" t="s">
        <v>21</v>
      </c>
      <c r="J101" t="s">
        <v>22</v>
      </c>
      <c r="K101" t="s">
        <v>235</v>
      </c>
      <c r="L101" t="str">
        <f ca="1">IFERROR(_xludf.XLOOKUP($G101&amp;"."&amp;$H101,CaseSource!$A$2:$A$371,CaseSource!$B$2:$B$371,""),"")</f>
        <v/>
      </c>
    </row>
    <row r="102" spans="1:12" x14ac:dyDescent="0.2">
      <c r="A102" t="s">
        <v>285</v>
      </c>
      <c r="B102" t="s">
        <v>278</v>
      </c>
      <c r="C102" t="s">
        <v>279</v>
      </c>
      <c r="D102" t="s">
        <v>31</v>
      </c>
      <c r="F102">
        <v>2</v>
      </c>
      <c r="G102" t="s">
        <v>44</v>
      </c>
      <c r="H102" t="s">
        <v>286</v>
      </c>
      <c r="I102" t="s">
        <v>21</v>
      </c>
      <c r="J102" t="s">
        <v>22</v>
      </c>
      <c r="K102" t="s">
        <v>235</v>
      </c>
      <c r="L102" t="str">
        <f ca="1">IFERROR(_xludf.XLOOKUP($G102&amp;"."&amp;$H102,CaseSource!$A$2:$A$371,CaseSource!$B$2:$B$371,""),"")</f>
        <v/>
      </c>
    </row>
    <row r="103" spans="1:12" x14ac:dyDescent="0.2">
      <c r="A103" t="s">
        <v>281</v>
      </c>
      <c r="B103" t="s">
        <v>278</v>
      </c>
      <c r="C103" t="s">
        <v>80</v>
      </c>
      <c r="D103" t="s">
        <v>31</v>
      </c>
      <c r="F103">
        <v>1</v>
      </c>
      <c r="G103" t="s">
        <v>282</v>
      </c>
      <c r="H103" t="s">
        <v>283</v>
      </c>
      <c r="I103" t="s">
        <v>21</v>
      </c>
      <c r="J103" t="s">
        <v>22</v>
      </c>
      <c r="K103" t="s">
        <v>284</v>
      </c>
      <c r="L103" t="str">
        <f ca="1">IFERROR(_xludf.XLOOKUP($G103&amp;"."&amp;$H103,CaseSource!$A$2:$A$371,CaseSource!$B$2:$B$371,""),"")</f>
        <v/>
      </c>
    </row>
    <row r="104" spans="1:12" x14ac:dyDescent="0.2">
      <c r="A104" t="s">
        <v>281</v>
      </c>
      <c r="B104" t="s">
        <v>278</v>
      </c>
      <c r="C104" t="s">
        <v>80</v>
      </c>
      <c r="D104" t="s">
        <v>31</v>
      </c>
      <c r="F104">
        <v>2</v>
      </c>
      <c r="G104" t="s">
        <v>44</v>
      </c>
      <c r="H104" t="s">
        <v>283</v>
      </c>
      <c r="I104" t="s">
        <v>21</v>
      </c>
      <c r="J104" t="s">
        <v>22</v>
      </c>
      <c r="K104" t="s">
        <v>284</v>
      </c>
      <c r="L104" t="str">
        <f ca="1">IFERROR(_xludf.XLOOKUP($G104&amp;"."&amp;$H104,CaseSource!$A$2:$A$371,CaseSource!$B$2:$B$371,""),"")</f>
        <v/>
      </c>
    </row>
    <row r="105" spans="1:12" x14ac:dyDescent="0.2">
      <c r="A105" t="s">
        <v>287</v>
      </c>
      <c r="B105" t="s">
        <v>278</v>
      </c>
      <c r="C105" t="s">
        <v>279</v>
      </c>
      <c r="D105" t="s">
        <v>31</v>
      </c>
      <c r="F105">
        <v>1</v>
      </c>
      <c r="G105" t="s">
        <v>282</v>
      </c>
      <c r="H105" t="s">
        <v>288</v>
      </c>
      <c r="I105" t="s">
        <v>21</v>
      </c>
      <c r="J105" t="s">
        <v>22</v>
      </c>
      <c r="K105" t="s">
        <v>289</v>
      </c>
      <c r="L105" t="str">
        <f ca="1">IFERROR(_xludf.XLOOKUP($G105&amp;"."&amp;$H105,CaseSource!$A$2:$A$371,CaseSource!$B$2:$B$371,""),"")</f>
        <v/>
      </c>
    </row>
    <row r="106" spans="1:12" x14ac:dyDescent="0.2">
      <c r="A106" t="s">
        <v>292</v>
      </c>
      <c r="B106" t="s">
        <v>278</v>
      </c>
      <c r="C106" t="s">
        <v>279</v>
      </c>
      <c r="D106" t="s">
        <v>31</v>
      </c>
      <c r="F106">
        <v>1</v>
      </c>
      <c r="G106" t="s">
        <v>282</v>
      </c>
      <c r="H106" t="s">
        <v>293</v>
      </c>
      <c r="I106" t="s">
        <v>21</v>
      </c>
      <c r="J106" t="s">
        <v>22</v>
      </c>
      <c r="K106" t="s">
        <v>235</v>
      </c>
      <c r="L106" t="str">
        <f ca="1">IFERROR(_xludf.XLOOKUP($G106&amp;"."&amp;$H106,CaseSource!$A$2:$A$371,CaseSource!$B$2:$B$371,""),"")</f>
        <v/>
      </c>
    </row>
    <row r="107" spans="1:12" x14ac:dyDescent="0.2">
      <c r="A107" t="s">
        <v>290</v>
      </c>
      <c r="B107" t="s">
        <v>278</v>
      </c>
      <c r="C107" t="s">
        <v>279</v>
      </c>
      <c r="D107" t="s">
        <v>31</v>
      </c>
      <c r="F107">
        <v>1</v>
      </c>
      <c r="G107" t="s">
        <v>282</v>
      </c>
      <c r="H107" t="s">
        <v>291</v>
      </c>
      <c r="I107" t="s">
        <v>21</v>
      </c>
      <c r="J107" t="s">
        <v>22</v>
      </c>
      <c r="K107" t="s">
        <v>98</v>
      </c>
      <c r="L107" t="str">
        <f ca="1">IFERROR(_xludf.XLOOKUP($G107&amp;"."&amp;$H107,CaseSource!$A$2:$A$371,CaseSource!$B$2:$B$371,""),"")</f>
        <v/>
      </c>
    </row>
    <row r="108" spans="1:12" x14ac:dyDescent="0.2">
      <c r="A108" t="s">
        <v>30</v>
      </c>
      <c r="B108" t="s">
        <v>15</v>
      </c>
      <c r="C108" t="s">
        <v>16</v>
      </c>
      <c r="D108" t="s">
        <v>31</v>
      </c>
      <c r="E108" t="s">
        <v>32</v>
      </c>
      <c r="F108">
        <v>1</v>
      </c>
      <c r="G108" t="s">
        <v>19</v>
      </c>
      <c r="H108" t="s">
        <v>33</v>
      </c>
      <c r="I108" t="s">
        <v>21</v>
      </c>
      <c r="J108" t="s">
        <v>22</v>
      </c>
      <c r="K108" t="s">
        <v>34</v>
      </c>
      <c r="L108" t="str">
        <f ca="1">IFERROR(_xludf.XLOOKUP($G108&amp;"."&amp;$H108,CaseSource!$A$2:$A$371,CaseSource!$B$2:$B$371,""),"")</f>
        <v/>
      </c>
    </row>
    <row r="109" spans="1:12" x14ac:dyDescent="0.2">
      <c r="A109" t="s">
        <v>30</v>
      </c>
      <c r="B109" t="s">
        <v>15</v>
      </c>
      <c r="C109" t="s">
        <v>16</v>
      </c>
      <c r="D109" t="s">
        <v>31</v>
      </c>
      <c r="E109" t="s">
        <v>32</v>
      </c>
      <c r="F109">
        <v>2</v>
      </c>
      <c r="G109" t="s">
        <v>19</v>
      </c>
      <c r="H109" t="s">
        <v>35</v>
      </c>
      <c r="I109" t="s">
        <v>21</v>
      </c>
      <c r="J109" t="s">
        <v>22</v>
      </c>
      <c r="K109" t="s">
        <v>34</v>
      </c>
      <c r="L109" t="str">
        <f ca="1">IFERROR(_xludf.XLOOKUP($G109&amp;"."&amp;$H109,CaseSource!$A$2:$A$371,CaseSource!$B$2:$B$371,""),"")</f>
        <v/>
      </c>
    </row>
    <row r="110" spans="1:12" x14ac:dyDescent="0.2">
      <c r="A110" t="s">
        <v>30</v>
      </c>
      <c r="B110" t="s">
        <v>15</v>
      </c>
      <c r="C110" t="s">
        <v>16</v>
      </c>
      <c r="D110" t="s">
        <v>31</v>
      </c>
      <c r="E110" t="s">
        <v>32</v>
      </c>
      <c r="F110">
        <v>3</v>
      </c>
      <c r="G110" t="s">
        <v>24</v>
      </c>
      <c r="H110" t="s">
        <v>36</v>
      </c>
      <c r="I110" t="s">
        <v>21</v>
      </c>
      <c r="J110" t="s">
        <v>22</v>
      </c>
      <c r="K110" t="s">
        <v>34</v>
      </c>
      <c r="L110" t="str">
        <f ca="1">IFERROR(_xludf.XLOOKUP($G110&amp;"."&amp;$H110,CaseSource!$A$2:$A$371,CaseSource!$B$2:$B$371,""),"")</f>
        <v/>
      </c>
    </row>
    <row r="111" spans="1:12" x14ac:dyDescent="0.2">
      <c r="A111" t="s">
        <v>30</v>
      </c>
      <c r="B111" t="s">
        <v>15</v>
      </c>
      <c r="C111" t="s">
        <v>16</v>
      </c>
      <c r="D111" t="s">
        <v>31</v>
      </c>
      <c r="E111" t="s">
        <v>32</v>
      </c>
      <c r="F111">
        <v>4</v>
      </c>
      <c r="G111" t="s">
        <v>19</v>
      </c>
      <c r="H111" t="s">
        <v>37</v>
      </c>
      <c r="I111" t="s">
        <v>21</v>
      </c>
      <c r="J111" t="s">
        <v>22</v>
      </c>
      <c r="K111" t="s">
        <v>34</v>
      </c>
      <c r="L111" t="str">
        <f ca="1">IFERROR(_xludf.XLOOKUP($G111&amp;"."&amp;$H111,CaseSource!$A$2:$A$371,CaseSource!$B$2:$B$371,""),"")</f>
        <v/>
      </c>
    </row>
    <row r="112" spans="1:12" x14ac:dyDescent="0.2">
      <c r="A112" t="s">
        <v>30</v>
      </c>
      <c r="B112" t="s">
        <v>15</v>
      </c>
      <c r="C112" t="s">
        <v>16</v>
      </c>
      <c r="D112" t="s">
        <v>31</v>
      </c>
      <c r="E112" t="s">
        <v>32</v>
      </c>
      <c r="F112">
        <v>5</v>
      </c>
      <c r="G112" t="s">
        <v>24</v>
      </c>
      <c r="H112" t="s">
        <v>38</v>
      </c>
      <c r="I112" t="s">
        <v>21</v>
      </c>
      <c r="J112" t="s">
        <v>22</v>
      </c>
      <c r="K112" t="s">
        <v>34</v>
      </c>
      <c r="L112" t="str">
        <f ca="1">IFERROR(_xludf.XLOOKUP($G112&amp;"."&amp;$H112,CaseSource!$A$2:$A$371,CaseSource!$B$2:$B$371,""),"")</f>
        <v/>
      </c>
    </row>
    <row r="113" spans="1:12" x14ac:dyDescent="0.2">
      <c r="A113" t="s">
        <v>129</v>
      </c>
      <c r="B113" t="s">
        <v>130</v>
      </c>
      <c r="C113" t="s">
        <v>131</v>
      </c>
      <c r="D113" t="s">
        <v>31</v>
      </c>
      <c r="F113">
        <v>1</v>
      </c>
      <c r="G113" t="s">
        <v>19</v>
      </c>
      <c r="H113" t="s">
        <v>132</v>
      </c>
      <c r="I113" t="s">
        <v>21</v>
      </c>
      <c r="J113" t="s">
        <v>22</v>
      </c>
      <c r="K113" t="s">
        <v>133</v>
      </c>
      <c r="L113" t="str">
        <f ca="1">IFERROR(_xludf.XLOOKUP($G113&amp;"."&amp;$H113,CaseSource!$A$2:$A$371,CaseSource!$B$2:$B$371,""),"")</f>
        <v/>
      </c>
    </row>
    <row r="114" spans="1:12" x14ac:dyDescent="0.2">
      <c r="A114" t="s">
        <v>134</v>
      </c>
      <c r="B114" t="s">
        <v>15</v>
      </c>
      <c r="C114" t="s">
        <v>135</v>
      </c>
      <c r="D114" t="s">
        <v>31</v>
      </c>
      <c r="F114">
        <v>1</v>
      </c>
      <c r="G114" t="s">
        <v>19</v>
      </c>
      <c r="H114" t="s">
        <v>136</v>
      </c>
      <c r="I114" t="s">
        <v>21</v>
      </c>
      <c r="J114" t="s">
        <v>22</v>
      </c>
      <c r="K114" t="s">
        <v>126</v>
      </c>
      <c r="L114" t="str">
        <f ca="1">IFERROR(_xludf.XLOOKUP($G114&amp;"."&amp;$H114,CaseSource!$A$2:$A$371,CaseSource!$B$2:$B$371,""),"")</f>
        <v/>
      </c>
    </row>
    <row r="115" spans="1:12" x14ac:dyDescent="0.2">
      <c r="A115" t="s">
        <v>134</v>
      </c>
      <c r="B115" t="s">
        <v>15</v>
      </c>
      <c r="C115" t="s">
        <v>135</v>
      </c>
      <c r="D115" t="s">
        <v>31</v>
      </c>
      <c r="F115">
        <v>2</v>
      </c>
      <c r="G115" t="s">
        <v>19</v>
      </c>
      <c r="H115" t="s">
        <v>137</v>
      </c>
      <c r="I115" t="s">
        <v>21</v>
      </c>
      <c r="J115" t="s">
        <v>22</v>
      </c>
      <c r="K115" t="s">
        <v>126</v>
      </c>
      <c r="L115" t="str">
        <f ca="1">IFERROR(_xludf.XLOOKUP($G115&amp;"."&amp;$H115,CaseSource!$A$2:$A$371,CaseSource!$B$2:$B$371,""),"")</f>
        <v/>
      </c>
    </row>
    <row r="116" spans="1:12" x14ac:dyDescent="0.2">
      <c r="A116" t="s">
        <v>134</v>
      </c>
      <c r="B116" t="s">
        <v>15</v>
      </c>
      <c r="C116" t="s">
        <v>135</v>
      </c>
      <c r="D116" t="s">
        <v>31</v>
      </c>
      <c r="F116">
        <v>3</v>
      </c>
      <c r="G116" t="s">
        <v>24</v>
      </c>
      <c r="H116" t="s">
        <v>138</v>
      </c>
      <c r="I116" t="s">
        <v>21</v>
      </c>
      <c r="J116" t="s">
        <v>22</v>
      </c>
      <c r="K116" t="s">
        <v>126</v>
      </c>
      <c r="L116" t="str">
        <f ca="1">IFERROR(_xludf.XLOOKUP($G116&amp;"."&amp;$H116,CaseSource!$A$2:$A$371,CaseSource!$B$2:$B$371,""),"")</f>
        <v/>
      </c>
    </row>
    <row r="117" spans="1:12" x14ac:dyDescent="0.2">
      <c r="A117" t="s">
        <v>165</v>
      </c>
      <c r="B117" t="s">
        <v>15</v>
      </c>
      <c r="C117" t="s">
        <v>166</v>
      </c>
      <c r="D117" t="s">
        <v>31</v>
      </c>
      <c r="F117">
        <v>1</v>
      </c>
      <c r="G117" t="s">
        <v>24</v>
      </c>
      <c r="H117" t="s">
        <v>167</v>
      </c>
      <c r="I117" t="s">
        <v>21</v>
      </c>
      <c r="J117" t="s">
        <v>22</v>
      </c>
      <c r="K117" t="s">
        <v>160</v>
      </c>
      <c r="L117" t="str">
        <f ca="1">IFERROR(_xludf.XLOOKUP($G117&amp;"."&amp;$H117,CaseSource!$A$2:$A$371,CaseSource!$B$2:$B$371,""),"")</f>
        <v/>
      </c>
    </row>
    <row r="118" spans="1:12" x14ac:dyDescent="0.2">
      <c r="A118" t="s">
        <v>161</v>
      </c>
      <c r="B118" t="s">
        <v>87</v>
      </c>
      <c r="C118" t="s">
        <v>96</v>
      </c>
      <c r="D118" t="s">
        <v>31</v>
      </c>
      <c r="F118">
        <v>1</v>
      </c>
      <c r="G118" t="s">
        <v>24</v>
      </c>
      <c r="H118" t="s">
        <v>162</v>
      </c>
      <c r="I118" t="s">
        <v>21</v>
      </c>
      <c r="J118" t="s">
        <v>22</v>
      </c>
      <c r="K118" t="s">
        <v>98</v>
      </c>
      <c r="L118" t="str">
        <f ca="1">IFERROR(_xludf.XLOOKUP($G118&amp;"."&amp;$H118,CaseSource!$A$2:$A$371,CaseSource!$B$2:$B$371,""),"")</f>
        <v/>
      </c>
    </row>
    <row r="119" spans="1:12" x14ac:dyDescent="0.2">
      <c r="A119" t="s">
        <v>181</v>
      </c>
      <c r="B119" t="s">
        <v>87</v>
      </c>
      <c r="C119" t="s">
        <v>182</v>
      </c>
      <c r="D119" t="s">
        <v>31</v>
      </c>
      <c r="F119">
        <v>1</v>
      </c>
      <c r="G119" t="s">
        <v>24</v>
      </c>
      <c r="H119" t="s">
        <v>183</v>
      </c>
      <c r="I119" t="s">
        <v>21</v>
      </c>
      <c r="J119" t="s">
        <v>22</v>
      </c>
      <c r="K119" t="s">
        <v>160</v>
      </c>
      <c r="L119" t="str">
        <f ca="1">IFERROR(_xludf.XLOOKUP($G119&amp;"."&amp;$H119,CaseSource!$A$2:$A$371,CaseSource!$B$2:$B$371,""),"")</f>
        <v/>
      </c>
    </row>
    <row r="120" spans="1:12" x14ac:dyDescent="0.2">
      <c r="A120" t="s">
        <v>78</v>
      </c>
      <c r="B120" t="s">
        <v>79</v>
      </c>
      <c r="C120" t="s">
        <v>80</v>
      </c>
      <c r="D120" t="s">
        <v>31</v>
      </c>
      <c r="F120">
        <v>1</v>
      </c>
      <c r="G120" t="s">
        <v>24</v>
      </c>
      <c r="H120" t="s">
        <v>81</v>
      </c>
      <c r="I120" t="s">
        <v>21</v>
      </c>
      <c r="J120" t="s">
        <v>22</v>
      </c>
      <c r="K120" t="s">
        <v>76</v>
      </c>
      <c r="L120" t="str">
        <f ca="1">IFERROR(_xludf.XLOOKUP($G120&amp;"."&amp;$H120,CaseSource!$A$2:$A$371,CaseSource!$B$2:$B$371,""),"")</f>
        <v/>
      </c>
    </row>
    <row r="121" spans="1:12" x14ac:dyDescent="0.2">
      <c r="A121" t="s">
        <v>312</v>
      </c>
      <c r="B121" t="s">
        <v>249</v>
      </c>
      <c r="C121" t="s">
        <v>16</v>
      </c>
      <c r="D121" t="s">
        <v>31</v>
      </c>
      <c r="F121">
        <v>1</v>
      </c>
      <c r="G121" t="s">
        <v>19</v>
      </c>
      <c r="H121" t="s">
        <v>311</v>
      </c>
      <c r="I121" t="s">
        <v>21</v>
      </c>
      <c r="J121" t="s">
        <v>22</v>
      </c>
      <c r="K121" t="s">
        <v>126</v>
      </c>
      <c r="L121" t="str">
        <f ca="1">IFERROR(_xludf.XLOOKUP($G121&amp;"."&amp;$H121,CaseSource!$A$2:$A$371,CaseSource!$B$2:$B$371,""),"")</f>
        <v/>
      </c>
    </row>
    <row r="122" spans="1:12" x14ac:dyDescent="0.2">
      <c r="A122" t="s">
        <v>103</v>
      </c>
      <c r="B122" t="s">
        <v>87</v>
      </c>
      <c r="C122" t="s">
        <v>80</v>
      </c>
      <c r="D122" t="s">
        <v>31</v>
      </c>
      <c r="F122">
        <v>1</v>
      </c>
      <c r="G122" t="s">
        <v>24</v>
      </c>
      <c r="H122" t="s">
        <v>104</v>
      </c>
      <c r="I122" t="s">
        <v>21</v>
      </c>
      <c r="J122" t="s">
        <v>22</v>
      </c>
      <c r="K122" t="s">
        <v>105</v>
      </c>
      <c r="L122" t="str">
        <f ca="1">IFERROR(_xludf.XLOOKUP($G122&amp;"."&amp;$H122,CaseSource!$A$2:$A$371,CaseSource!$B$2:$B$371,""),"")</f>
        <v/>
      </c>
    </row>
    <row r="123" spans="1:12" x14ac:dyDescent="0.2">
      <c r="A123" t="s">
        <v>95</v>
      </c>
      <c r="B123" t="s">
        <v>87</v>
      </c>
      <c r="C123" t="s">
        <v>96</v>
      </c>
      <c r="D123" t="s">
        <v>31</v>
      </c>
      <c r="F123">
        <v>1</v>
      </c>
      <c r="G123" t="s">
        <v>24</v>
      </c>
      <c r="H123" t="s">
        <v>97</v>
      </c>
      <c r="I123" t="s">
        <v>21</v>
      </c>
      <c r="J123" t="s">
        <v>22</v>
      </c>
      <c r="K123" t="s">
        <v>98</v>
      </c>
      <c r="L123" t="str">
        <f ca="1">IFERROR(_xludf.XLOOKUP($G123&amp;"."&amp;$H123,CaseSource!$A$2:$A$371,CaseSource!$B$2:$B$371,""),"")</f>
        <v/>
      </c>
    </row>
    <row r="124" spans="1:12" x14ac:dyDescent="0.2">
      <c r="A124" t="s">
        <v>95</v>
      </c>
      <c r="B124" t="s">
        <v>87</v>
      </c>
      <c r="C124" t="s">
        <v>96</v>
      </c>
      <c r="D124" t="s">
        <v>31</v>
      </c>
      <c r="F124">
        <v>2</v>
      </c>
      <c r="G124" t="s">
        <v>24</v>
      </c>
      <c r="H124" t="s">
        <v>99</v>
      </c>
      <c r="I124" t="s">
        <v>21</v>
      </c>
      <c r="J124" t="s">
        <v>22</v>
      </c>
      <c r="K124" t="s">
        <v>98</v>
      </c>
      <c r="L124" t="str">
        <f ca="1">IFERROR(_xludf.XLOOKUP($G124&amp;"."&amp;$H124,CaseSource!$A$2:$A$371,CaseSource!$B$2:$B$371,""),"")</f>
        <v/>
      </c>
    </row>
    <row r="125" spans="1:12" x14ac:dyDescent="0.2">
      <c r="A125" t="s">
        <v>265</v>
      </c>
      <c r="B125" t="s">
        <v>130</v>
      </c>
      <c r="C125" t="s">
        <v>266</v>
      </c>
      <c r="D125" t="s">
        <v>31</v>
      </c>
      <c r="F125">
        <v>1</v>
      </c>
      <c r="G125" t="s">
        <v>19</v>
      </c>
      <c r="H125" t="s">
        <v>267</v>
      </c>
      <c r="I125" t="s">
        <v>21</v>
      </c>
      <c r="J125" t="s">
        <v>22</v>
      </c>
      <c r="K125" t="s">
        <v>126</v>
      </c>
      <c r="L125" t="str">
        <f ca="1">IFERROR(_xludf.XLOOKUP($G125&amp;"."&amp;$H125,CaseSource!$A$2:$A$371,CaseSource!$B$2:$B$371,""),"")</f>
        <v/>
      </c>
    </row>
    <row r="126" spans="1:12" x14ac:dyDescent="0.2">
      <c r="A126" t="s">
        <v>268</v>
      </c>
      <c r="B126" t="s">
        <v>130</v>
      </c>
      <c r="C126" t="s">
        <v>266</v>
      </c>
      <c r="D126" t="s">
        <v>31</v>
      </c>
      <c r="F126">
        <v>1</v>
      </c>
      <c r="G126" t="s">
        <v>19</v>
      </c>
      <c r="H126" t="s">
        <v>269</v>
      </c>
      <c r="I126" t="s">
        <v>21</v>
      </c>
      <c r="J126" t="s">
        <v>22</v>
      </c>
      <c r="K126" t="s">
        <v>126</v>
      </c>
      <c r="L126" t="str">
        <f ca="1">IFERROR(_xludf.XLOOKUP($G126&amp;"."&amp;$H126,CaseSource!$A$2:$A$371,CaseSource!$B$2:$B$371,""),"")</f>
        <v/>
      </c>
    </row>
    <row r="127" spans="1:12" x14ac:dyDescent="0.2">
      <c r="A127" t="s">
        <v>256</v>
      </c>
      <c r="B127" t="s">
        <v>130</v>
      </c>
      <c r="C127" t="s">
        <v>16</v>
      </c>
      <c r="D127" t="s">
        <v>31</v>
      </c>
      <c r="F127">
        <v>1</v>
      </c>
      <c r="G127" t="s">
        <v>19</v>
      </c>
      <c r="H127" t="s">
        <v>257</v>
      </c>
      <c r="I127" t="s">
        <v>21</v>
      </c>
      <c r="J127" t="s">
        <v>22</v>
      </c>
      <c r="K127" t="s">
        <v>126</v>
      </c>
      <c r="L127" t="str">
        <f ca="1">IFERROR(_xludf.XLOOKUP($G127&amp;"."&amp;$H127,CaseSource!$A$2:$A$371,CaseSource!$B$2:$B$371,""),"")</f>
        <v/>
      </c>
    </row>
    <row r="128" spans="1:12" x14ac:dyDescent="0.2">
      <c r="A128" t="s">
        <v>261</v>
      </c>
      <c r="B128" t="s">
        <v>130</v>
      </c>
      <c r="C128" t="s">
        <v>262</v>
      </c>
      <c r="D128" t="s">
        <v>31</v>
      </c>
      <c r="F128">
        <v>1</v>
      </c>
      <c r="G128" t="s">
        <v>19</v>
      </c>
      <c r="H128" t="s">
        <v>263</v>
      </c>
      <c r="I128" t="s">
        <v>21</v>
      </c>
      <c r="J128" t="s">
        <v>22</v>
      </c>
      <c r="K128" t="s">
        <v>264</v>
      </c>
      <c r="L128" t="str">
        <f ca="1">IFERROR(_xludf.XLOOKUP($G128&amp;"."&amp;$H128,CaseSource!$A$2:$A$371,CaseSource!$B$2:$B$371,""),"")</f>
        <v/>
      </c>
    </row>
    <row r="129" spans="1:12" x14ac:dyDescent="0.2">
      <c r="A129" t="s">
        <v>258</v>
      </c>
      <c r="D129" t="s">
        <v>31</v>
      </c>
      <c r="F129">
        <v>1</v>
      </c>
      <c r="G129" t="s">
        <v>19</v>
      </c>
      <c r="H129" t="s">
        <v>259</v>
      </c>
      <c r="I129" t="s">
        <v>21</v>
      </c>
      <c r="J129" t="s">
        <v>22</v>
      </c>
      <c r="K129" t="s">
        <v>260</v>
      </c>
      <c r="L129" t="str">
        <f ca="1">IFERROR(_xludf.XLOOKUP($G129&amp;"."&amp;$H129,CaseSource!$A$2:$A$371,CaseSource!$B$2:$B$371,""),"")</f>
        <v/>
      </c>
    </row>
    <row r="130" spans="1:12" x14ac:dyDescent="0.2">
      <c r="A130" t="s">
        <v>254</v>
      </c>
      <c r="B130" t="s">
        <v>130</v>
      </c>
      <c r="C130" t="s">
        <v>16</v>
      </c>
      <c r="D130" t="s">
        <v>31</v>
      </c>
      <c r="F130">
        <v>1</v>
      </c>
      <c r="G130" t="s">
        <v>19</v>
      </c>
      <c r="H130" t="s">
        <v>255</v>
      </c>
      <c r="I130" t="s">
        <v>21</v>
      </c>
      <c r="J130" t="s">
        <v>22</v>
      </c>
      <c r="K130" t="s">
        <v>235</v>
      </c>
      <c r="L130" t="str">
        <f ca="1">IFERROR(_xludf.XLOOKUP($G130&amp;"."&amp;$H130,CaseSource!$A$2:$A$371,CaseSource!$B$2:$B$371,""),"")</f>
        <v/>
      </c>
    </row>
    <row r="131" spans="1:12" x14ac:dyDescent="0.2">
      <c r="A131" t="s">
        <v>309</v>
      </c>
      <c r="B131" t="s">
        <v>87</v>
      </c>
      <c r="C131" t="s">
        <v>310</v>
      </c>
      <c r="D131" t="s">
        <v>31</v>
      </c>
      <c r="F131">
        <v>1</v>
      </c>
      <c r="G131" t="s">
        <v>19</v>
      </c>
      <c r="H131" t="s">
        <v>311</v>
      </c>
      <c r="I131" t="s">
        <v>21</v>
      </c>
      <c r="J131" t="s">
        <v>22</v>
      </c>
      <c r="K131" t="s">
        <v>126</v>
      </c>
      <c r="L131" t="str">
        <f ca="1">IFERROR(_xludf.XLOOKUP($G131&amp;"."&amp;$H131,CaseSource!$A$2:$A$371,CaseSource!$B$2:$B$371,""),"")</f>
        <v/>
      </c>
    </row>
    <row r="132" spans="1:12" x14ac:dyDescent="0.2">
      <c r="A132" t="s">
        <v>58</v>
      </c>
      <c r="B132" t="s">
        <v>15</v>
      </c>
      <c r="C132" t="s">
        <v>49</v>
      </c>
      <c r="D132" t="s">
        <v>31</v>
      </c>
      <c r="F132">
        <v>1</v>
      </c>
      <c r="G132" t="s">
        <v>24</v>
      </c>
      <c r="H132" t="s">
        <v>59</v>
      </c>
      <c r="I132" t="s">
        <v>21</v>
      </c>
      <c r="J132" t="s">
        <v>22</v>
      </c>
      <c r="K132" t="s">
        <v>60</v>
      </c>
      <c r="L132" t="str">
        <f ca="1">IFERROR(_xludf.XLOOKUP($G132&amp;"."&amp;$H132,CaseSource!$A$2:$A$371,CaseSource!$B$2:$B$371,""),"")</f>
        <v/>
      </c>
    </row>
    <row r="133" spans="1:12" x14ac:dyDescent="0.2">
      <c r="A133" t="s">
        <v>58</v>
      </c>
      <c r="B133" t="s">
        <v>15</v>
      </c>
      <c r="C133" t="s">
        <v>49</v>
      </c>
      <c r="D133" t="s">
        <v>31</v>
      </c>
      <c r="F133">
        <v>2</v>
      </c>
      <c r="G133" t="s">
        <v>61</v>
      </c>
      <c r="H133" t="s">
        <v>62</v>
      </c>
      <c r="I133" t="s">
        <v>21</v>
      </c>
      <c r="J133" t="s">
        <v>22</v>
      </c>
      <c r="K133" t="s">
        <v>60</v>
      </c>
      <c r="L133" t="str">
        <f ca="1">IFERROR(_xludf.XLOOKUP($G133&amp;"."&amp;$H133,CaseSource!$A$2:$A$371,CaseSource!$B$2:$B$371,""),"")</f>
        <v/>
      </c>
    </row>
    <row r="134" spans="1:12" x14ac:dyDescent="0.2">
      <c r="A134" t="s">
        <v>58</v>
      </c>
      <c r="B134" t="s">
        <v>15</v>
      </c>
      <c r="C134" t="s">
        <v>49</v>
      </c>
      <c r="D134" t="s">
        <v>31</v>
      </c>
      <c r="F134">
        <v>3</v>
      </c>
      <c r="G134" t="s">
        <v>19</v>
      </c>
      <c r="H134" t="s">
        <v>63</v>
      </c>
      <c r="I134" t="s">
        <v>21</v>
      </c>
      <c r="J134" t="s">
        <v>22</v>
      </c>
      <c r="K134" t="s">
        <v>60</v>
      </c>
      <c r="L134" t="str">
        <f ca="1">IFERROR(_xludf.XLOOKUP($G134&amp;"."&amp;$H134,CaseSource!$A$2:$A$371,CaseSource!$B$2:$B$371,""),"")</f>
        <v/>
      </c>
    </row>
    <row r="135" spans="1:12" x14ac:dyDescent="0.2">
      <c r="A135" t="s">
        <v>58</v>
      </c>
      <c r="B135" t="s">
        <v>15</v>
      </c>
      <c r="C135" t="s">
        <v>49</v>
      </c>
      <c r="D135" t="s">
        <v>31</v>
      </c>
      <c r="F135">
        <v>4</v>
      </c>
      <c r="G135" t="s">
        <v>64</v>
      </c>
      <c r="H135" t="s">
        <v>65</v>
      </c>
      <c r="I135" t="s">
        <v>21</v>
      </c>
      <c r="J135" t="s">
        <v>22</v>
      </c>
      <c r="K135" t="s">
        <v>60</v>
      </c>
      <c r="L135" t="str">
        <f ca="1">IFERROR(_xludf.XLOOKUP($G135&amp;"."&amp;$H135,CaseSource!$A$2:$A$371,CaseSource!$B$2:$B$371,""),"")</f>
        <v/>
      </c>
    </row>
    <row r="136" spans="1:12" x14ac:dyDescent="0.2">
      <c r="A136" t="s">
        <v>58</v>
      </c>
      <c r="B136" t="s">
        <v>15</v>
      </c>
      <c r="C136" t="s">
        <v>49</v>
      </c>
      <c r="D136" t="s">
        <v>31</v>
      </c>
      <c r="F136">
        <v>5</v>
      </c>
      <c r="G136" t="s">
        <v>24</v>
      </c>
      <c r="H136" t="s">
        <v>66</v>
      </c>
      <c r="I136" t="s">
        <v>21</v>
      </c>
      <c r="J136" t="s">
        <v>22</v>
      </c>
      <c r="K136" t="s">
        <v>60</v>
      </c>
      <c r="L136" t="str">
        <f ca="1">IFERROR(_xludf.XLOOKUP($G136&amp;"."&amp;$H136,CaseSource!$A$2:$A$371,CaseSource!$B$2:$B$371,""),"")</f>
        <v/>
      </c>
    </row>
    <row r="137" spans="1:12" x14ac:dyDescent="0.2">
      <c r="A137" t="s">
        <v>58</v>
      </c>
      <c r="B137" t="s">
        <v>15</v>
      </c>
      <c r="C137" t="s">
        <v>49</v>
      </c>
      <c r="D137" t="s">
        <v>31</v>
      </c>
      <c r="F137">
        <v>6</v>
      </c>
      <c r="G137" t="s">
        <v>24</v>
      </c>
      <c r="H137" t="s">
        <v>67</v>
      </c>
      <c r="I137" t="s">
        <v>21</v>
      </c>
      <c r="J137" t="s">
        <v>22</v>
      </c>
      <c r="K137" t="s">
        <v>60</v>
      </c>
      <c r="L137" t="str">
        <f ca="1">IFERROR(_xludf.XLOOKUP($G137&amp;"."&amp;$H137,CaseSource!$A$2:$A$371,CaseSource!$B$2:$B$371,""),"")</f>
        <v/>
      </c>
    </row>
    <row r="138" spans="1:12" x14ac:dyDescent="0.2">
      <c r="A138" t="s">
        <v>58</v>
      </c>
      <c r="B138" t="s">
        <v>15</v>
      </c>
      <c r="C138" t="s">
        <v>49</v>
      </c>
      <c r="D138" t="s">
        <v>31</v>
      </c>
      <c r="F138">
        <v>7</v>
      </c>
      <c r="G138" t="s">
        <v>19</v>
      </c>
      <c r="H138" t="s">
        <v>68</v>
      </c>
      <c r="I138" t="s">
        <v>21</v>
      </c>
      <c r="J138" t="s">
        <v>22</v>
      </c>
      <c r="K138" t="s">
        <v>60</v>
      </c>
      <c r="L138" t="str">
        <f ca="1">IFERROR(_xludf.XLOOKUP($G138&amp;"."&amp;$H138,CaseSource!$A$2:$A$371,CaseSource!$B$2:$B$371,""),"")</f>
        <v/>
      </c>
    </row>
    <row r="139" spans="1:12" x14ac:dyDescent="0.2">
      <c r="A139" t="s">
        <v>58</v>
      </c>
      <c r="B139" t="s">
        <v>15</v>
      </c>
      <c r="C139" t="s">
        <v>49</v>
      </c>
      <c r="D139" t="s">
        <v>31</v>
      </c>
      <c r="F139">
        <v>8</v>
      </c>
      <c r="G139" t="s">
        <v>19</v>
      </c>
      <c r="H139" t="s">
        <v>69</v>
      </c>
      <c r="I139" t="s">
        <v>21</v>
      </c>
      <c r="J139" t="s">
        <v>22</v>
      </c>
      <c r="K139" t="s">
        <v>60</v>
      </c>
      <c r="L139" t="str">
        <f ca="1">IFERROR(_xludf.XLOOKUP($G139&amp;"."&amp;$H139,CaseSource!$A$2:$A$371,CaseSource!$B$2:$B$371,""),"")</f>
        <v/>
      </c>
    </row>
    <row r="140" spans="1:12" x14ac:dyDescent="0.2">
      <c r="A140" t="s">
        <v>70</v>
      </c>
      <c r="D140" t="s">
        <v>31</v>
      </c>
      <c r="F140">
        <v>1</v>
      </c>
      <c r="G140" t="s">
        <v>24</v>
      </c>
      <c r="H140" t="s">
        <v>71</v>
      </c>
      <c r="I140" t="s">
        <v>21</v>
      </c>
      <c r="J140" t="s">
        <v>22</v>
      </c>
      <c r="K140" t="s">
        <v>72</v>
      </c>
      <c r="L140" t="str">
        <f ca="1">IFERROR(_xludf.XLOOKUP($G140&amp;"."&amp;$H140,CaseSource!$A$2:$A$371,CaseSource!$B$2:$B$371,""),"")</f>
        <v/>
      </c>
    </row>
    <row r="141" spans="1:12" x14ac:dyDescent="0.2">
      <c r="A141" t="s">
        <v>70</v>
      </c>
      <c r="D141" t="s">
        <v>31</v>
      </c>
      <c r="F141">
        <v>2</v>
      </c>
      <c r="G141" t="s">
        <v>61</v>
      </c>
      <c r="H141" t="s">
        <v>73</v>
      </c>
      <c r="I141" t="s">
        <v>21</v>
      </c>
      <c r="J141" t="s">
        <v>22</v>
      </c>
      <c r="K141" t="s">
        <v>72</v>
      </c>
      <c r="L141" t="str">
        <f ca="1">IFERROR(_xludf.XLOOKUP($G141&amp;"."&amp;$H141,CaseSource!$A$2:$A$371,CaseSource!$B$2:$B$371,""),"")</f>
        <v/>
      </c>
    </row>
    <row r="142" spans="1:12" x14ac:dyDescent="0.2">
      <c r="A142" t="s">
        <v>70</v>
      </c>
      <c r="D142" t="s">
        <v>31</v>
      </c>
      <c r="F142">
        <v>3</v>
      </c>
      <c r="G142" t="s">
        <v>61</v>
      </c>
      <c r="H142" t="s">
        <v>62</v>
      </c>
      <c r="I142" t="s">
        <v>21</v>
      </c>
      <c r="J142" t="s">
        <v>22</v>
      </c>
      <c r="K142" t="s">
        <v>72</v>
      </c>
      <c r="L142" t="str">
        <f ca="1">IFERROR(_xludf.XLOOKUP($G142&amp;"."&amp;$H142,CaseSource!$A$2:$A$371,CaseSource!$B$2:$B$371,""),"")</f>
        <v/>
      </c>
    </row>
    <row r="143" spans="1:12" x14ac:dyDescent="0.2">
      <c r="A143" t="s">
        <v>70</v>
      </c>
      <c r="D143" t="s">
        <v>31</v>
      </c>
      <c r="F143">
        <v>4</v>
      </c>
      <c r="G143" t="s">
        <v>24</v>
      </c>
      <c r="H143" t="s">
        <v>59</v>
      </c>
      <c r="I143" t="s">
        <v>21</v>
      </c>
      <c r="J143" t="s">
        <v>22</v>
      </c>
      <c r="K143" t="s">
        <v>72</v>
      </c>
      <c r="L143" t="str">
        <f ca="1">IFERROR(_xludf.XLOOKUP($G143&amp;"."&amp;$H143,CaseSource!$A$2:$A$371,CaseSource!$B$2:$B$371,""),"")</f>
        <v/>
      </c>
    </row>
    <row r="144" spans="1:12" x14ac:dyDescent="0.2">
      <c r="A144" t="s">
        <v>127</v>
      </c>
      <c r="B144" t="s">
        <v>87</v>
      </c>
      <c r="C144" t="s">
        <v>107</v>
      </c>
      <c r="D144" t="s">
        <v>31</v>
      </c>
      <c r="F144">
        <v>1</v>
      </c>
      <c r="G144" t="s">
        <v>24</v>
      </c>
      <c r="H144" t="s">
        <v>28</v>
      </c>
      <c r="I144" t="s">
        <v>21</v>
      </c>
      <c r="J144" t="s">
        <v>22</v>
      </c>
      <c r="K144" t="s">
        <v>128</v>
      </c>
      <c r="L144" t="str">
        <f ca="1">IFERROR(_xludf.XLOOKUP($G144&amp;"."&amp;$H144,CaseSource!$A$2:$A$371,CaseSource!$B$2:$B$371,""),"")</f>
        <v/>
      </c>
    </row>
    <row r="145" spans="1:12" x14ac:dyDescent="0.2">
      <c r="A145" t="s">
        <v>297</v>
      </c>
      <c r="B145" t="s">
        <v>278</v>
      </c>
      <c r="C145" t="s">
        <v>80</v>
      </c>
      <c r="D145" t="s">
        <v>31</v>
      </c>
      <c r="F145">
        <v>1</v>
      </c>
      <c r="G145" t="s">
        <v>282</v>
      </c>
      <c r="H145" t="s">
        <v>298</v>
      </c>
      <c r="I145" t="s">
        <v>21</v>
      </c>
      <c r="J145" t="s">
        <v>22</v>
      </c>
      <c r="K145" t="s">
        <v>98</v>
      </c>
      <c r="L145" t="str">
        <f ca="1">IFERROR(_xludf.XLOOKUP($G145&amp;"."&amp;$H145,CaseSource!$A$2:$A$371,CaseSource!$B$2:$B$371,""),"")</f>
        <v/>
      </c>
    </row>
    <row r="146" spans="1:12" x14ac:dyDescent="0.2">
      <c r="A146" t="s">
        <v>297</v>
      </c>
      <c r="B146" t="s">
        <v>278</v>
      </c>
      <c r="C146" t="s">
        <v>80</v>
      </c>
      <c r="D146" t="s">
        <v>31</v>
      </c>
      <c r="F146">
        <v>2</v>
      </c>
      <c r="G146" t="s">
        <v>44</v>
      </c>
      <c r="H146" t="s">
        <v>298</v>
      </c>
      <c r="I146" t="s">
        <v>21</v>
      </c>
      <c r="J146" t="s">
        <v>22</v>
      </c>
      <c r="K146" t="s">
        <v>98</v>
      </c>
      <c r="L146" t="str">
        <f ca="1">IFERROR(_xludf.XLOOKUP($G146&amp;"."&amp;$H146,CaseSource!$A$2:$A$371,CaseSource!$B$2:$B$371,""),"")</f>
        <v/>
      </c>
    </row>
    <row r="147" spans="1:12" x14ac:dyDescent="0.2">
      <c r="A147" t="s">
        <v>299</v>
      </c>
      <c r="B147" t="s">
        <v>278</v>
      </c>
      <c r="C147" t="s">
        <v>80</v>
      </c>
      <c r="D147" t="s">
        <v>31</v>
      </c>
      <c r="F147">
        <v>1</v>
      </c>
      <c r="G147" t="s">
        <v>282</v>
      </c>
      <c r="H147" t="s">
        <v>300</v>
      </c>
      <c r="I147" t="s">
        <v>21</v>
      </c>
      <c r="J147" t="s">
        <v>22</v>
      </c>
      <c r="K147" t="s">
        <v>98</v>
      </c>
      <c r="L147" t="str">
        <f ca="1">IFERROR(_xludf.XLOOKUP($G147&amp;"."&amp;$H147,CaseSource!$A$2:$A$371,CaseSource!$B$2:$B$371,""),"")</f>
        <v/>
      </c>
    </row>
    <row r="148" spans="1:12" x14ac:dyDescent="0.2">
      <c r="A148" t="s">
        <v>299</v>
      </c>
      <c r="B148" t="s">
        <v>278</v>
      </c>
      <c r="C148" t="s">
        <v>80</v>
      </c>
      <c r="D148" t="s">
        <v>31</v>
      </c>
      <c r="F148">
        <v>2</v>
      </c>
      <c r="G148" t="s">
        <v>44</v>
      </c>
      <c r="H148" t="s">
        <v>300</v>
      </c>
      <c r="I148" t="s">
        <v>21</v>
      </c>
      <c r="J148" t="s">
        <v>22</v>
      </c>
      <c r="K148" t="s">
        <v>98</v>
      </c>
      <c r="L148" t="str">
        <f ca="1">IFERROR(_xludf.XLOOKUP($G148&amp;"."&amp;$H148,CaseSource!$A$2:$A$371,CaseSource!$B$2:$B$371,""),"")</f>
        <v/>
      </c>
    </row>
    <row r="149" spans="1:12" x14ac:dyDescent="0.2">
      <c r="A149" t="s">
        <v>303</v>
      </c>
      <c r="B149" t="s">
        <v>278</v>
      </c>
      <c r="C149" t="s">
        <v>279</v>
      </c>
      <c r="D149" t="s">
        <v>31</v>
      </c>
      <c r="F149">
        <v>1</v>
      </c>
      <c r="G149" t="s">
        <v>282</v>
      </c>
      <c r="H149" t="s">
        <v>304</v>
      </c>
      <c r="I149" t="s">
        <v>21</v>
      </c>
      <c r="J149" t="s">
        <v>22</v>
      </c>
      <c r="K149" t="s">
        <v>289</v>
      </c>
      <c r="L149" t="str">
        <f ca="1">IFERROR(_xludf.XLOOKUP($G149&amp;"."&amp;$H149,CaseSource!$A$2:$A$371,CaseSource!$B$2:$B$371,""),"")</f>
        <v/>
      </c>
    </row>
    <row r="150" spans="1:12" x14ac:dyDescent="0.2">
      <c r="A150" t="s">
        <v>307</v>
      </c>
      <c r="B150" t="s">
        <v>278</v>
      </c>
      <c r="C150" t="s">
        <v>80</v>
      </c>
      <c r="D150" t="s">
        <v>31</v>
      </c>
      <c r="F150">
        <v>1</v>
      </c>
      <c r="G150" t="s">
        <v>282</v>
      </c>
      <c r="H150" t="s">
        <v>308</v>
      </c>
      <c r="I150" t="s">
        <v>21</v>
      </c>
      <c r="J150" t="s">
        <v>22</v>
      </c>
      <c r="K150" t="s">
        <v>235</v>
      </c>
      <c r="L150" t="str">
        <f ca="1">IFERROR(_xludf.XLOOKUP($G150&amp;"."&amp;$H150,CaseSource!$A$2:$A$371,CaseSource!$B$2:$B$371,""),"")</f>
        <v/>
      </c>
    </row>
    <row r="151" spans="1:12" x14ac:dyDescent="0.2">
      <c r="A151" t="s">
        <v>305</v>
      </c>
      <c r="B151" t="s">
        <v>278</v>
      </c>
      <c r="C151" t="s">
        <v>279</v>
      </c>
      <c r="D151" t="s">
        <v>31</v>
      </c>
      <c r="F151">
        <v>1</v>
      </c>
      <c r="G151" t="s">
        <v>282</v>
      </c>
      <c r="H151" t="s">
        <v>306</v>
      </c>
      <c r="I151" t="s">
        <v>21</v>
      </c>
      <c r="J151" t="s">
        <v>22</v>
      </c>
      <c r="K151" t="s">
        <v>98</v>
      </c>
      <c r="L151" t="str">
        <f ca="1">IFERROR(_xludf.XLOOKUP($G151&amp;"."&amp;$H151,CaseSource!$A$2:$A$371,CaseSource!$B$2:$B$371,""),"")</f>
        <v/>
      </c>
    </row>
    <row r="152" spans="1:12" x14ac:dyDescent="0.2">
      <c r="A152" t="s">
        <v>301</v>
      </c>
      <c r="B152" t="s">
        <v>278</v>
      </c>
      <c r="C152" t="s">
        <v>279</v>
      </c>
      <c r="D152" t="s">
        <v>31</v>
      </c>
      <c r="F152">
        <v>1</v>
      </c>
      <c r="G152" t="s">
        <v>282</v>
      </c>
      <c r="H152" t="s">
        <v>302</v>
      </c>
      <c r="I152" t="s">
        <v>21</v>
      </c>
      <c r="J152" t="s">
        <v>22</v>
      </c>
      <c r="K152" t="s">
        <v>235</v>
      </c>
      <c r="L152" t="str">
        <f ca="1">IFERROR(_xludf.XLOOKUP($G152&amp;"."&amp;$H152,CaseSource!$A$2:$A$371,CaseSource!$B$2:$B$371,""),"")</f>
        <v/>
      </c>
    </row>
    <row r="153" spans="1:12" x14ac:dyDescent="0.2">
      <c r="A153" t="s">
        <v>301</v>
      </c>
      <c r="B153" t="s">
        <v>278</v>
      </c>
      <c r="C153" t="s">
        <v>279</v>
      </c>
      <c r="D153" t="s">
        <v>31</v>
      </c>
      <c r="F153">
        <v>2</v>
      </c>
      <c r="G153" t="s">
        <v>44</v>
      </c>
      <c r="H153" t="s">
        <v>302</v>
      </c>
      <c r="I153" t="s">
        <v>21</v>
      </c>
      <c r="J153" t="s">
        <v>22</v>
      </c>
      <c r="K153" t="s">
        <v>235</v>
      </c>
      <c r="L153" t="str">
        <f ca="1">IFERROR(_xludf.XLOOKUP($G153&amp;"."&amp;$H153,CaseSource!$A$2:$A$371,CaseSource!$B$2:$B$371,""),"")</f>
        <v/>
      </c>
    </row>
    <row r="154" spans="1:12" x14ac:dyDescent="0.2">
      <c r="A154" t="s">
        <v>294</v>
      </c>
      <c r="B154" t="s">
        <v>278</v>
      </c>
      <c r="C154" t="s">
        <v>80</v>
      </c>
      <c r="D154" t="s">
        <v>31</v>
      </c>
      <c r="F154">
        <v>1</v>
      </c>
      <c r="G154" t="s">
        <v>282</v>
      </c>
      <c r="H154" t="s">
        <v>295</v>
      </c>
      <c r="I154" t="s">
        <v>21</v>
      </c>
      <c r="J154" t="s">
        <v>22</v>
      </c>
      <c r="K154" t="s">
        <v>98</v>
      </c>
      <c r="L154" t="str">
        <f ca="1">IFERROR(_xludf.XLOOKUP($G154&amp;"."&amp;$H154,CaseSource!$A$2:$A$371,CaseSource!$B$2:$B$371,""),"")</f>
        <v/>
      </c>
    </row>
    <row r="155" spans="1:12" x14ac:dyDescent="0.2">
      <c r="A155" t="s">
        <v>294</v>
      </c>
      <c r="B155" t="s">
        <v>278</v>
      </c>
      <c r="C155" t="s">
        <v>80</v>
      </c>
      <c r="D155" t="s">
        <v>31</v>
      </c>
      <c r="F155">
        <v>2</v>
      </c>
      <c r="G155" t="s">
        <v>19</v>
      </c>
      <c r="H155" t="s">
        <v>296</v>
      </c>
      <c r="I155" t="s">
        <v>21</v>
      </c>
      <c r="J155" t="s">
        <v>22</v>
      </c>
      <c r="K155" t="s">
        <v>98</v>
      </c>
      <c r="L155" t="str">
        <f ca="1">IFERROR(_xludf.XLOOKUP($G155&amp;"."&amp;$H155,CaseSource!$A$2:$A$371,CaseSource!$B$2:$B$371,""),"")</f>
        <v/>
      </c>
    </row>
    <row r="156" spans="1:12" x14ac:dyDescent="0.2">
      <c r="A156" t="s">
        <v>294</v>
      </c>
      <c r="B156" t="s">
        <v>278</v>
      </c>
      <c r="C156" t="s">
        <v>80</v>
      </c>
      <c r="D156" t="s">
        <v>31</v>
      </c>
      <c r="F156">
        <v>3</v>
      </c>
      <c r="G156" t="s">
        <v>44</v>
      </c>
      <c r="H156" t="s">
        <v>295</v>
      </c>
      <c r="I156" t="s">
        <v>21</v>
      </c>
      <c r="J156" t="s">
        <v>22</v>
      </c>
      <c r="K156" t="s">
        <v>98</v>
      </c>
      <c r="L156" t="str">
        <f ca="1">IFERROR(_xludf.XLOOKUP($G156&amp;"."&amp;$H156,CaseSource!$A$2:$A$371,CaseSource!$B$2:$B$371,""),"")</f>
        <v/>
      </c>
    </row>
    <row r="157" spans="1:12" x14ac:dyDescent="0.2">
      <c r="A157" t="s">
        <v>233</v>
      </c>
      <c r="B157" t="s">
        <v>87</v>
      </c>
      <c r="C157" t="s">
        <v>221</v>
      </c>
      <c r="D157" t="s">
        <v>31</v>
      </c>
      <c r="F157">
        <v>1</v>
      </c>
      <c r="G157" t="s">
        <v>19</v>
      </c>
      <c r="H157" t="s">
        <v>234</v>
      </c>
      <c r="I157" t="s">
        <v>21</v>
      </c>
      <c r="J157" t="s">
        <v>22</v>
      </c>
      <c r="K157" t="s">
        <v>235</v>
      </c>
      <c r="L157" t="str">
        <f ca="1">IFERROR(_xludf.XLOOKUP($G157&amp;"."&amp;$H157,CaseSource!$A$2:$A$371,CaseSource!$B$2:$B$371,""),"")</f>
        <v/>
      </c>
    </row>
    <row r="158" spans="1:12" x14ac:dyDescent="0.2">
      <c r="A158" t="s">
        <v>233</v>
      </c>
      <c r="B158" t="s">
        <v>87</v>
      </c>
      <c r="C158" t="s">
        <v>221</v>
      </c>
      <c r="D158" t="s">
        <v>31</v>
      </c>
      <c r="F158">
        <v>2</v>
      </c>
      <c r="G158" t="s">
        <v>224</v>
      </c>
      <c r="H158" t="s">
        <v>236</v>
      </c>
      <c r="I158" t="s">
        <v>21</v>
      </c>
      <c r="J158" t="s">
        <v>22</v>
      </c>
      <c r="K158" t="s">
        <v>235</v>
      </c>
      <c r="L158" t="str">
        <f ca="1">IFERROR(_xludf.XLOOKUP($G158&amp;"."&amp;$H158,CaseSource!$A$2:$A$371,CaseSource!$B$2:$B$371,""),"")</f>
        <v/>
      </c>
    </row>
    <row r="159" spans="1:12" x14ac:dyDescent="0.2">
      <c r="A159" t="s">
        <v>233</v>
      </c>
      <c r="B159" t="s">
        <v>87</v>
      </c>
      <c r="C159" t="s">
        <v>221</v>
      </c>
      <c r="D159" t="s">
        <v>31</v>
      </c>
      <c r="F159">
        <v>3</v>
      </c>
      <c r="G159" t="s">
        <v>24</v>
      </c>
      <c r="H159" t="s">
        <v>237</v>
      </c>
      <c r="I159" t="s">
        <v>21</v>
      </c>
      <c r="J159" t="s">
        <v>22</v>
      </c>
      <c r="K159" t="s">
        <v>235</v>
      </c>
      <c r="L159" t="str">
        <f ca="1">IFERROR(_xludf.XLOOKUP($G159&amp;"."&amp;$H159,CaseSource!$A$2:$A$371,CaseSource!$B$2:$B$371,""),"")</f>
        <v/>
      </c>
    </row>
    <row r="160" spans="1:12" x14ac:dyDescent="0.2">
      <c r="A160" t="s">
        <v>238</v>
      </c>
      <c r="B160" t="s">
        <v>87</v>
      </c>
      <c r="C160" t="s">
        <v>221</v>
      </c>
      <c r="D160" t="s">
        <v>31</v>
      </c>
      <c r="F160">
        <v>1</v>
      </c>
      <c r="G160" t="s">
        <v>19</v>
      </c>
      <c r="H160" t="s">
        <v>239</v>
      </c>
      <c r="I160" t="s">
        <v>21</v>
      </c>
      <c r="J160" t="s">
        <v>22</v>
      </c>
      <c r="K160" t="s">
        <v>240</v>
      </c>
      <c r="L160" t="str">
        <f ca="1">IFERROR(_xludf.XLOOKUP($G160&amp;"."&amp;$H160,CaseSource!$A$2:$A$371,CaseSource!$B$2:$B$371,""),"")</f>
        <v/>
      </c>
    </row>
    <row r="161" spans="1:12" x14ac:dyDescent="0.2">
      <c r="A161" t="s">
        <v>238</v>
      </c>
      <c r="B161" t="s">
        <v>87</v>
      </c>
      <c r="C161" t="s">
        <v>221</v>
      </c>
      <c r="D161" t="s">
        <v>31</v>
      </c>
      <c r="F161">
        <v>2</v>
      </c>
      <c r="G161" t="s">
        <v>224</v>
      </c>
      <c r="H161" t="s">
        <v>241</v>
      </c>
      <c r="I161" t="s">
        <v>21</v>
      </c>
      <c r="J161" t="s">
        <v>22</v>
      </c>
      <c r="K161" t="s">
        <v>240</v>
      </c>
      <c r="L161" t="str">
        <f ca="1">IFERROR(_xludf.XLOOKUP($G161&amp;"."&amp;$H161,CaseSource!$A$2:$A$371,CaseSource!$B$2:$B$371,""),"")</f>
        <v/>
      </c>
    </row>
    <row r="162" spans="1:12" x14ac:dyDescent="0.2">
      <c r="A162" t="s">
        <v>211</v>
      </c>
      <c r="B162" t="s">
        <v>15</v>
      </c>
      <c r="C162" t="s">
        <v>54</v>
      </c>
      <c r="D162" t="s">
        <v>31</v>
      </c>
      <c r="F162">
        <v>1</v>
      </c>
      <c r="G162" t="s">
        <v>19</v>
      </c>
      <c r="H162" t="s">
        <v>212</v>
      </c>
      <c r="I162" t="s">
        <v>21</v>
      </c>
      <c r="J162" t="s">
        <v>22</v>
      </c>
      <c r="K162" t="s">
        <v>213</v>
      </c>
      <c r="L162" t="str">
        <f ca="1">IFERROR(_xludf.XLOOKUP($G162&amp;"."&amp;$H162,CaseSource!$A$2:$A$371,CaseSource!$B$2:$B$371,""),"")</f>
        <v/>
      </c>
    </row>
    <row r="163" spans="1:12" x14ac:dyDescent="0.2">
      <c r="A163" t="s">
        <v>199</v>
      </c>
      <c r="D163" t="s">
        <v>31</v>
      </c>
      <c r="F163">
        <v>1</v>
      </c>
      <c r="G163" t="s">
        <v>24</v>
      </c>
      <c r="H163" t="s">
        <v>200</v>
      </c>
      <c r="I163" t="s">
        <v>21</v>
      </c>
      <c r="J163" t="s">
        <v>22</v>
      </c>
      <c r="K163" t="s">
        <v>201</v>
      </c>
      <c r="L163" t="str">
        <f ca="1">IFERROR(_xludf.XLOOKUP($G163&amp;"."&amp;$H163,CaseSource!$A$2:$A$371,CaseSource!$B$2:$B$371,""),"")</f>
        <v/>
      </c>
    </row>
    <row r="164" spans="1:12" x14ac:dyDescent="0.2">
      <c r="A164" t="s">
        <v>202</v>
      </c>
      <c r="D164" t="s">
        <v>31</v>
      </c>
      <c r="F164">
        <v>1</v>
      </c>
      <c r="G164" t="s">
        <v>24</v>
      </c>
      <c r="H164" t="s">
        <v>203</v>
      </c>
      <c r="I164" t="s">
        <v>21</v>
      </c>
      <c r="J164" t="s">
        <v>22</v>
      </c>
      <c r="K164" t="s">
        <v>204</v>
      </c>
      <c r="L164" t="str">
        <f ca="1">IFERROR(_xludf.XLOOKUP($G164&amp;"."&amp;$H164,CaseSource!$A$2:$A$371,CaseSource!$B$2:$B$371,""),"")</f>
        <v/>
      </c>
    </row>
    <row r="165" spans="1:12" x14ac:dyDescent="0.2">
      <c r="A165" t="s">
        <v>205</v>
      </c>
      <c r="D165" t="s">
        <v>31</v>
      </c>
      <c r="F165">
        <v>1</v>
      </c>
      <c r="G165" t="s">
        <v>206</v>
      </c>
      <c r="H165" t="s">
        <v>207</v>
      </c>
      <c r="I165" t="s">
        <v>21</v>
      </c>
      <c r="J165" t="s">
        <v>22</v>
      </c>
      <c r="K165" t="s">
        <v>208</v>
      </c>
      <c r="L165" t="str">
        <f ca="1">IFERROR(_xludf.XLOOKUP($G165&amp;"."&amp;$H165,CaseSource!$A$2:$A$371,CaseSource!$B$2:$B$371,""),"")</f>
        <v/>
      </c>
    </row>
    <row r="166" spans="1:12" x14ac:dyDescent="0.2">
      <c r="A166" t="s">
        <v>209</v>
      </c>
      <c r="D166" t="s">
        <v>31</v>
      </c>
      <c r="F166">
        <v>1</v>
      </c>
      <c r="G166" t="s">
        <v>206</v>
      </c>
      <c r="H166" t="s">
        <v>210</v>
      </c>
      <c r="I166" t="s">
        <v>21</v>
      </c>
      <c r="J166" t="s">
        <v>22</v>
      </c>
      <c r="K166" t="s">
        <v>208</v>
      </c>
      <c r="L166" t="str">
        <f ca="1">IFERROR(_xludf.XLOOKUP($G166&amp;"."&amp;$H166,CaseSource!$A$2:$A$371,CaseSource!$B$2:$B$371,""),"")</f>
        <v/>
      </c>
    </row>
    <row r="167" spans="1:12" x14ac:dyDescent="0.2">
      <c r="A167" t="s">
        <v>110</v>
      </c>
      <c r="B167" t="s">
        <v>87</v>
      </c>
      <c r="C167" t="s">
        <v>107</v>
      </c>
      <c r="D167" t="s">
        <v>31</v>
      </c>
      <c r="F167">
        <v>1</v>
      </c>
      <c r="G167" t="s">
        <v>19</v>
      </c>
      <c r="H167" t="s">
        <v>111</v>
      </c>
      <c r="I167" t="s">
        <v>112</v>
      </c>
      <c r="J167" t="s">
        <v>22</v>
      </c>
      <c r="K167" t="s">
        <v>113</v>
      </c>
      <c r="L167" t="str">
        <f ca="1">IFERROR(_xludf.XLOOKUP($G167&amp;"."&amp;$H167,CaseSource!$A$2:$A$371,CaseSource!$B$2:$B$371,""),"")</f>
        <v/>
      </c>
    </row>
    <row r="168" spans="1:12" x14ac:dyDescent="0.2">
      <c r="A168" t="s">
        <v>106</v>
      </c>
      <c r="B168" t="s">
        <v>87</v>
      </c>
      <c r="C168" t="s">
        <v>107</v>
      </c>
      <c r="D168" t="s">
        <v>31</v>
      </c>
      <c r="F168">
        <v>1</v>
      </c>
      <c r="G168" t="s">
        <v>19</v>
      </c>
      <c r="H168" t="s">
        <v>108</v>
      </c>
      <c r="I168" t="s">
        <v>21</v>
      </c>
      <c r="J168" t="s">
        <v>22</v>
      </c>
      <c r="K168" t="s">
        <v>109</v>
      </c>
      <c r="L168" t="str">
        <f ca="1">IFERROR(_xludf.XLOOKUP($G168&amp;"."&amp;$H168,CaseSource!$A$2:$A$371,CaseSource!$B$2:$B$371,""),"")</f>
        <v/>
      </c>
    </row>
    <row r="169" spans="1:12" x14ac:dyDescent="0.2">
      <c r="A169" t="s">
        <v>86</v>
      </c>
      <c r="B169" t="s">
        <v>87</v>
      </c>
      <c r="C169" t="s">
        <v>80</v>
      </c>
      <c r="D169" t="s">
        <v>31</v>
      </c>
      <c r="F169">
        <v>1</v>
      </c>
      <c r="G169" t="s">
        <v>24</v>
      </c>
      <c r="H169" t="s">
        <v>88</v>
      </c>
      <c r="I169" t="s">
        <v>21</v>
      </c>
      <c r="J169" t="s">
        <v>22</v>
      </c>
      <c r="K169" t="s">
        <v>89</v>
      </c>
      <c r="L169" t="str">
        <f ca="1">IFERROR(_xludf.XLOOKUP($G169&amp;"."&amp;$H169,CaseSource!$A$2:$A$371,CaseSource!$B$2:$B$371,""),"")</f>
        <v/>
      </c>
    </row>
    <row r="170" spans="1:12" x14ac:dyDescent="0.2">
      <c r="A170" t="s">
        <v>86</v>
      </c>
      <c r="B170" t="s">
        <v>87</v>
      </c>
      <c r="C170" t="s">
        <v>80</v>
      </c>
      <c r="D170" t="s">
        <v>31</v>
      </c>
      <c r="F170">
        <v>2</v>
      </c>
      <c r="G170" t="s">
        <v>24</v>
      </c>
      <c r="H170" t="s">
        <v>90</v>
      </c>
      <c r="I170" t="s">
        <v>21</v>
      </c>
      <c r="J170" t="s">
        <v>22</v>
      </c>
      <c r="K170" t="s">
        <v>89</v>
      </c>
      <c r="L170" t="str">
        <f ca="1">IFERROR(_xludf.XLOOKUP($G170&amp;"."&amp;$H170,CaseSource!$A$2:$A$371,CaseSource!$B$2:$B$371,""),"")</f>
        <v/>
      </c>
    </row>
    <row r="171" spans="1:12" x14ac:dyDescent="0.2">
      <c r="A171" t="s">
        <v>86</v>
      </c>
      <c r="B171" t="s">
        <v>87</v>
      </c>
      <c r="C171" t="s">
        <v>80</v>
      </c>
      <c r="D171" t="s">
        <v>31</v>
      </c>
      <c r="F171">
        <v>3</v>
      </c>
      <c r="G171" t="s">
        <v>24</v>
      </c>
      <c r="H171" t="s">
        <v>91</v>
      </c>
      <c r="I171" t="s">
        <v>21</v>
      </c>
      <c r="J171" t="s">
        <v>22</v>
      </c>
      <c r="K171" t="s">
        <v>89</v>
      </c>
      <c r="L171" t="str">
        <f ca="1">IFERROR(_xludf.XLOOKUP($G171&amp;"."&amp;$H171,CaseSource!$A$2:$A$371,CaseSource!$B$2:$B$371,""),"")</f>
        <v/>
      </c>
    </row>
    <row r="172" spans="1:12" x14ac:dyDescent="0.2">
      <c r="A172" t="s">
        <v>86</v>
      </c>
      <c r="B172" t="s">
        <v>87</v>
      </c>
      <c r="C172" t="s">
        <v>80</v>
      </c>
      <c r="D172" t="s">
        <v>31</v>
      </c>
      <c r="F172">
        <v>4</v>
      </c>
      <c r="G172" t="s">
        <v>24</v>
      </c>
      <c r="H172" t="s">
        <v>92</v>
      </c>
      <c r="I172" t="s">
        <v>21</v>
      </c>
      <c r="J172" t="s">
        <v>22</v>
      </c>
      <c r="K172" t="s">
        <v>89</v>
      </c>
      <c r="L172" t="str">
        <f ca="1">IFERROR(_xludf.XLOOKUP($G172&amp;"."&amp;$H172,CaseSource!$A$2:$A$371,CaseSource!$B$2:$B$371,""),"")</f>
        <v/>
      </c>
    </row>
    <row r="173" spans="1:12" x14ac:dyDescent="0.2">
      <c r="A173" t="s">
        <v>86</v>
      </c>
      <c r="B173" t="s">
        <v>87</v>
      </c>
      <c r="C173" t="s">
        <v>80</v>
      </c>
      <c r="D173" t="s">
        <v>31</v>
      </c>
      <c r="F173">
        <v>5</v>
      </c>
      <c r="G173" t="s">
        <v>19</v>
      </c>
      <c r="H173" t="s">
        <v>92</v>
      </c>
      <c r="I173" t="s">
        <v>21</v>
      </c>
      <c r="J173" t="s">
        <v>22</v>
      </c>
      <c r="K173" t="s">
        <v>89</v>
      </c>
      <c r="L173" t="str">
        <f ca="1">IFERROR(_xludf.XLOOKUP($G173&amp;"."&amp;$H173,CaseSource!$A$2:$A$371,CaseSource!$B$2:$B$371,""),"")</f>
        <v/>
      </c>
    </row>
    <row r="174" spans="1:12" x14ac:dyDescent="0.2">
      <c r="A174" t="s">
        <v>86</v>
      </c>
      <c r="B174" t="s">
        <v>87</v>
      </c>
      <c r="C174" t="s">
        <v>80</v>
      </c>
      <c r="D174" t="s">
        <v>31</v>
      </c>
      <c r="F174">
        <v>6</v>
      </c>
      <c r="G174" t="s">
        <v>19</v>
      </c>
      <c r="H174" t="s">
        <v>93</v>
      </c>
      <c r="I174" t="s">
        <v>21</v>
      </c>
      <c r="J174" t="s">
        <v>22</v>
      </c>
      <c r="K174" t="s">
        <v>89</v>
      </c>
      <c r="L174" t="str">
        <f ca="1">IFERROR(_xludf.XLOOKUP($G174&amp;"."&amp;$H174,CaseSource!$A$2:$A$371,CaseSource!$B$2:$B$371,""),"")</f>
        <v/>
      </c>
    </row>
    <row r="175" spans="1:12" x14ac:dyDescent="0.2">
      <c r="A175" t="s">
        <v>86</v>
      </c>
      <c r="B175" t="s">
        <v>87</v>
      </c>
      <c r="C175" t="s">
        <v>80</v>
      </c>
      <c r="D175" t="s">
        <v>31</v>
      </c>
      <c r="F175">
        <v>7</v>
      </c>
      <c r="G175" t="s">
        <v>19</v>
      </c>
      <c r="H175" t="s">
        <v>94</v>
      </c>
      <c r="I175" t="s">
        <v>21</v>
      </c>
      <c r="J175" t="s">
        <v>22</v>
      </c>
      <c r="K175" t="s">
        <v>89</v>
      </c>
      <c r="L175" t="str">
        <f ca="1">IFERROR(_xludf.XLOOKUP($G175&amp;"."&amp;$H175,CaseSource!$A$2:$A$371,CaseSource!$B$2:$B$371,""),"")</f>
        <v/>
      </c>
    </row>
    <row r="176" spans="1:12" x14ac:dyDescent="0.2">
      <c r="A176" t="s">
        <v>163</v>
      </c>
      <c r="B176" t="s">
        <v>87</v>
      </c>
      <c r="C176" t="s">
        <v>96</v>
      </c>
      <c r="D176" t="s">
        <v>31</v>
      </c>
      <c r="F176">
        <v>1</v>
      </c>
      <c r="G176" t="s">
        <v>24</v>
      </c>
      <c r="H176" t="s">
        <v>164</v>
      </c>
      <c r="I176" t="s">
        <v>21</v>
      </c>
      <c r="J176" t="s">
        <v>22</v>
      </c>
      <c r="K176" t="s">
        <v>98</v>
      </c>
      <c r="L176" t="str">
        <f ca="1">IFERROR(_xludf.XLOOKUP($G176&amp;"."&amp;$H176,CaseSource!$A$2:$A$371,CaseSource!$B$2:$B$371,""),"")</f>
        <v/>
      </c>
    </row>
    <row r="177" spans="1:12" x14ac:dyDescent="0.2">
      <c r="A177" t="s">
        <v>350</v>
      </c>
      <c r="B177" t="s">
        <v>130</v>
      </c>
      <c r="C177" t="s">
        <v>346</v>
      </c>
      <c r="D177" t="s">
        <v>31</v>
      </c>
      <c r="F177">
        <v>1</v>
      </c>
      <c r="G177" t="s">
        <v>347</v>
      </c>
      <c r="H177" t="s">
        <v>351</v>
      </c>
      <c r="I177" t="s">
        <v>21</v>
      </c>
      <c r="J177" t="s">
        <v>22</v>
      </c>
      <c r="K177" t="s">
        <v>98</v>
      </c>
      <c r="L177" t="str">
        <f ca="1">IFERROR(_xludf.XLOOKUP($G177&amp;"."&amp;$H177,CaseSource!$A$2:$A$371,CaseSource!$B$2:$B$371,""),"")</f>
        <v/>
      </c>
    </row>
    <row r="178" spans="1:12" x14ac:dyDescent="0.2">
      <c r="A178" t="s">
        <v>352</v>
      </c>
      <c r="B178" t="s">
        <v>130</v>
      </c>
      <c r="C178" t="s">
        <v>346</v>
      </c>
      <c r="D178" t="s">
        <v>31</v>
      </c>
      <c r="F178">
        <v>1</v>
      </c>
      <c r="G178" t="s">
        <v>347</v>
      </c>
      <c r="H178" t="s">
        <v>353</v>
      </c>
      <c r="I178" t="s">
        <v>21</v>
      </c>
      <c r="J178" t="s">
        <v>22</v>
      </c>
      <c r="K178" t="s">
        <v>354</v>
      </c>
      <c r="L178" t="str">
        <f ca="1">IFERROR(_xludf.XLOOKUP($G178&amp;"."&amp;$H178,CaseSource!$A$2:$A$371,CaseSource!$B$2:$B$371,""),"")</f>
        <v/>
      </c>
    </row>
    <row r="179" spans="1:12" x14ac:dyDescent="0.2">
      <c r="A179" t="s">
        <v>343</v>
      </c>
      <c r="B179" t="s">
        <v>87</v>
      </c>
      <c r="C179" t="s">
        <v>190</v>
      </c>
      <c r="D179" t="s">
        <v>31</v>
      </c>
      <c r="F179">
        <v>1</v>
      </c>
      <c r="G179" t="s">
        <v>64</v>
      </c>
      <c r="H179" t="s">
        <v>344</v>
      </c>
      <c r="I179" t="s">
        <v>21</v>
      </c>
      <c r="J179" t="s">
        <v>22</v>
      </c>
      <c r="K179" t="s">
        <v>98</v>
      </c>
      <c r="L179" t="str">
        <f ca="1">IFERROR(_xludf.XLOOKUP($G179&amp;"."&amp;$H179,CaseSource!$A$2:$A$371,CaseSource!$B$2:$B$371,""),"")</f>
        <v/>
      </c>
    </row>
    <row r="180" spans="1:12" x14ac:dyDescent="0.2">
      <c r="A180" t="s">
        <v>337</v>
      </c>
      <c r="B180" t="s">
        <v>87</v>
      </c>
      <c r="C180" t="s">
        <v>190</v>
      </c>
      <c r="D180" t="s">
        <v>31</v>
      </c>
      <c r="F180">
        <v>1</v>
      </c>
      <c r="G180" t="s">
        <v>64</v>
      </c>
      <c r="H180" t="s">
        <v>320</v>
      </c>
      <c r="I180" t="s">
        <v>21</v>
      </c>
      <c r="J180" t="s">
        <v>22</v>
      </c>
      <c r="K180" t="s">
        <v>98</v>
      </c>
      <c r="L180" t="str">
        <f ca="1">IFERROR(_xludf.XLOOKUP($G180&amp;"."&amp;$H180,CaseSource!$A$2:$A$371,CaseSource!$B$2:$B$371,""),"")</f>
        <v/>
      </c>
    </row>
    <row r="181" spans="1:12" x14ac:dyDescent="0.2">
      <c r="A181" t="s">
        <v>339</v>
      </c>
      <c r="B181" t="s">
        <v>87</v>
      </c>
      <c r="C181" t="s">
        <v>190</v>
      </c>
      <c r="D181" t="s">
        <v>31</v>
      </c>
      <c r="F181">
        <v>1</v>
      </c>
      <c r="G181" t="s">
        <v>64</v>
      </c>
      <c r="H181" t="s">
        <v>324</v>
      </c>
      <c r="I181" t="s">
        <v>21</v>
      </c>
      <c r="J181" t="s">
        <v>22</v>
      </c>
      <c r="K181" t="s">
        <v>98</v>
      </c>
      <c r="L181" t="str">
        <f ca="1">IFERROR(_xludf.XLOOKUP($G181&amp;"."&amp;$H181,CaseSource!$A$2:$A$371,CaseSource!$B$2:$B$371,""),"")</f>
        <v/>
      </c>
    </row>
    <row r="182" spans="1:12" x14ac:dyDescent="0.2">
      <c r="A182" t="s">
        <v>335</v>
      </c>
      <c r="B182" t="s">
        <v>87</v>
      </c>
      <c r="C182" t="s">
        <v>190</v>
      </c>
      <c r="D182" t="s">
        <v>31</v>
      </c>
      <c r="F182">
        <v>1</v>
      </c>
      <c r="G182" t="s">
        <v>64</v>
      </c>
      <c r="H182" t="s">
        <v>315</v>
      </c>
      <c r="I182" t="s">
        <v>21</v>
      </c>
      <c r="J182" t="s">
        <v>22</v>
      </c>
      <c r="K182" t="s">
        <v>98</v>
      </c>
      <c r="L182" t="str">
        <f ca="1">IFERROR(_xludf.XLOOKUP($G182&amp;"."&amp;$H182,CaseSource!$A$2:$A$371,CaseSource!$B$2:$B$371,""),"")</f>
        <v/>
      </c>
    </row>
    <row r="183" spans="1:12" x14ac:dyDescent="0.2">
      <c r="A183" t="s">
        <v>341</v>
      </c>
      <c r="B183" t="s">
        <v>87</v>
      </c>
      <c r="C183" t="s">
        <v>342</v>
      </c>
      <c r="D183" t="s">
        <v>31</v>
      </c>
      <c r="F183">
        <v>1</v>
      </c>
      <c r="G183" t="s">
        <v>64</v>
      </c>
      <c r="H183" t="s">
        <v>191</v>
      </c>
      <c r="I183" t="s">
        <v>21</v>
      </c>
      <c r="J183" t="s">
        <v>22</v>
      </c>
      <c r="K183" t="s">
        <v>98</v>
      </c>
      <c r="L183" t="str">
        <f ca="1">IFERROR(_xludf.XLOOKUP($G183&amp;"."&amp;$H183,CaseSource!$A$2:$A$371,CaseSource!$B$2:$B$371,""),"")</f>
        <v/>
      </c>
    </row>
    <row r="184" spans="1:12" x14ac:dyDescent="0.2">
      <c r="A184" t="s">
        <v>340</v>
      </c>
      <c r="B184" t="s">
        <v>87</v>
      </c>
      <c r="C184" t="s">
        <v>190</v>
      </c>
      <c r="D184" t="s">
        <v>31</v>
      </c>
      <c r="F184">
        <v>1</v>
      </c>
      <c r="G184" t="s">
        <v>64</v>
      </c>
      <c r="H184" t="s">
        <v>326</v>
      </c>
      <c r="I184" t="s">
        <v>21</v>
      </c>
      <c r="J184" t="s">
        <v>22</v>
      </c>
      <c r="K184" t="s">
        <v>252</v>
      </c>
      <c r="L184" t="str">
        <f ca="1">IFERROR(_xludf.XLOOKUP($G184&amp;"."&amp;$H184,CaseSource!$A$2:$A$371,CaseSource!$B$2:$B$371,""),"")</f>
        <v/>
      </c>
    </row>
    <row r="185" spans="1:12" x14ac:dyDescent="0.2">
      <c r="A185" t="s">
        <v>338</v>
      </c>
      <c r="B185" t="s">
        <v>87</v>
      </c>
      <c r="C185" t="s">
        <v>190</v>
      </c>
      <c r="D185" t="s">
        <v>31</v>
      </c>
      <c r="F185">
        <v>1</v>
      </c>
      <c r="G185" t="s">
        <v>64</v>
      </c>
      <c r="H185" t="s">
        <v>322</v>
      </c>
      <c r="I185" t="s">
        <v>21</v>
      </c>
      <c r="J185" t="s">
        <v>22</v>
      </c>
      <c r="K185" t="s">
        <v>98</v>
      </c>
      <c r="L185" t="str">
        <f ca="1">IFERROR(_xludf.XLOOKUP($G185&amp;"."&amp;$H185,CaseSource!$A$2:$A$371,CaseSource!$B$2:$B$371,""),"")</f>
        <v/>
      </c>
    </row>
    <row r="186" spans="1:12" x14ac:dyDescent="0.2">
      <c r="A186" t="s">
        <v>336</v>
      </c>
      <c r="B186" t="s">
        <v>87</v>
      </c>
      <c r="C186" t="s">
        <v>190</v>
      </c>
      <c r="D186" t="s">
        <v>31</v>
      </c>
      <c r="F186">
        <v>1</v>
      </c>
      <c r="G186" t="s">
        <v>64</v>
      </c>
      <c r="H186" t="s">
        <v>318</v>
      </c>
      <c r="I186" t="s">
        <v>21</v>
      </c>
      <c r="J186" t="s">
        <v>22</v>
      </c>
      <c r="K186" t="s">
        <v>98</v>
      </c>
      <c r="L186" t="str">
        <f ca="1">IFERROR(_xludf.XLOOKUP($G186&amp;"."&amp;$H186,CaseSource!$A$2:$A$371,CaseSource!$B$2:$B$371,""),"")</f>
        <v/>
      </c>
    </row>
    <row r="187" spans="1:12" x14ac:dyDescent="0.2">
      <c r="A187" t="s">
        <v>214</v>
      </c>
      <c r="B187" t="s">
        <v>15</v>
      </c>
      <c r="C187" t="s">
        <v>54</v>
      </c>
      <c r="D187" t="s">
        <v>215</v>
      </c>
      <c r="E187" t="s">
        <v>216</v>
      </c>
      <c r="F187">
        <v>1</v>
      </c>
      <c r="G187" t="s">
        <v>24</v>
      </c>
      <c r="H187" t="s">
        <v>217</v>
      </c>
      <c r="I187" t="s">
        <v>21</v>
      </c>
      <c r="J187" t="s">
        <v>22</v>
      </c>
      <c r="K187" t="s">
        <v>160</v>
      </c>
      <c r="L187" t="str">
        <f ca="1">IFERROR(_xludf.XLOOKUP($G187&amp;"."&amp;$H187,CaseSource!$A$2:$A$371,CaseSource!$B$2:$B$371,""),"")</f>
        <v/>
      </c>
    </row>
    <row r="188" spans="1:12" x14ac:dyDescent="0.2">
      <c r="A188" t="s">
        <v>214</v>
      </c>
      <c r="B188" t="s">
        <v>15</v>
      </c>
      <c r="C188" t="s">
        <v>54</v>
      </c>
      <c r="D188" t="s">
        <v>215</v>
      </c>
      <c r="E188" t="s">
        <v>216</v>
      </c>
      <c r="F188">
        <v>2</v>
      </c>
      <c r="G188" t="s">
        <v>206</v>
      </c>
      <c r="H188" t="s">
        <v>218</v>
      </c>
      <c r="I188" t="s">
        <v>21</v>
      </c>
      <c r="J188" t="s">
        <v>22</v>
      </c>
      <c r="K188" t="s">
        <v>160</v>
      </c>
      <c r="L188" t="str">
        <f ca="1">IFERROR(_xludf.XLOOKUP($G188&amp;"."&amp;$H188,CaseSource!$A$2:$A$371,CaseSource!$B$2:$B$371,""),"")</f>
        <v/>
      </c>
    </row>
    <row r="189" spans="1:12" x14ac:dyDescent="0.2">
      <c r="A189" t="s">
        <v>214</v>
      </c>
      <c r="B189" t="s">
        <v>15</v>
      </c>
      <c r="C189" t="s">
        <v>54</v>
      </c>
      <c r="D189" t="s">
        <v>215</v>
      </c>
      <c r="E189" t="s">
        <v>216</v>
      </c>
      <c r="F189">
        <v>3</v>
      </c>
      <c r="G189" t="s">
        <v>19</v>
      </c>
      <c r="H189" t="s">
        <v>219</v>
      </c>
      <c r="I189" t="s">
        <v>21</v>
      </c>
      <c r="J189" t="s">
        <v>22</v>
      </c>
      <c r="K189" t="s">
        <v>160</v>
      </c>
      <c r="L189" t="str">
        <f ca="1">IFERROR(_xludf.XLOOKUP($G189&amp;"."&amp;$H189,CaseSource!$A$2:$A$371,CaseSource!$B$2:$B$371,""),"")</f>
        <v/>
      </c>
    </row>
    <row r="190" spans="1:12" x14ac:dyDescent="0.2">
      <c r="A190" t="s">
        <v>195</v>
      </c>
      <c r="B190" t="s">
        <v>87</v>
      </c>
      <c r="C190" t="s">
        <v>182</v>
      </c>
      <c r="D190" t="s">
        <v>31</v>
      </c>
      <c r="F190">
        <v>1</v>
      </c>
      <c r="G190" t="s">
        <v>24</v>
      </c>
      <c r="H190" t="s">
        <v>194</v>
      </c>
      <c r="I190" t="s">
        <v>21</v>
      </c>
      <c r="J190" t="s">
        <v>22</v>
      </c>
      <c r="K190" t="s">
        <v>126</v>
      </c>
      <c r="L190" t="str">
        <f ca="1">IFERROR(_xludf.XLOOKUP($G190&amp;"."&amp;$H190,CaseSource!$A$2:$A$371,CaseSource!$B$2:$B$371,""),"")</f>
        <v/>
      </c>
    </row>
    <row r="191" spans="1:12" x14ac:dyDescent="0.2">
      <c r="A191" t="s">
        <v>151</v>
      </c>
      <c r="D191" t="s">
        <v>31</v>
      </c>
      <c r="F191">
        <v>1</v>
      </c>
      <c r="G191" t="s">
        <v>24</v>
      </c>
      <c r="H191" t="s">
        <v>152</v>
      </c>
      <c r="I191" t="s">
        <v>21</v>
      </c>
      <c r="J191" t="s">
        <v>22</v>
      </c>
      <c r="K191" t="s">
        <v>126</v>
      </c>
      <c r="L191" t="str">
        <f ca="1">IFERROR(_xludf.XLOOKUP($G191&amp;"."&amp;$H191,CaseSource!$A$2:$A$371,CaseSource!$B$2:$B$371,""),"")</f>
        <v/>
      </c>
    </row>
    <row r="192" spans="1:12" x14ac:dyDescent="0.2">
      <c r="A192" t="s">
        <v>153</v>
      </c>
      <c r="B192" t="s">
        <v>87</v>
      </c>
      <c r="C192" t="s">
        <v>154</v>
      </c>
      <c r="D192" t="s">
        <v>31</v>
      </c>
      <c r="F192">
        <v>1</v>
      </c>
      <c r="G192" t="s">
        <v>24</v>
      </c>
      <c r="H192" t="s">
        <v>152</v>
      </c>
      <c r="I192" t="s">
        <v>21</v>
      </c>
      <c r="J192" t="s">
        <v>22</v>
      </c>
      <c r="K192" t="s">
        <v>126</v>
      </c>
      <c r="L192" t="str">
        <f ca="1">IFERROR(_xludf.XLOOKUP($G192&amp;"."&amp;$H192,CaseSource!$A$2:$A$371,CaseSource!$B$2:$B$371,""),"")</f>
        <v/>
      </c>
    </row>
    <row r="193" spans="1:12" x14ac:dyDescent="0.2">
      <c r="A193" t="s">
        <v>14</v>
      </c>
      <c r="B193" t="s">
        <v>15</v>
      </c>
      <c r="C193" t="s">
        <v>16</v>
      </c>
      <c r="D193" t="s">
        <v>17</v>
      </c>
      <c r="E193" t="s">
        <v>18</v>
      </c>
      <c r="F193">
        <v>1</v>
      </c>
      <c r="G193" t="s">
        <v>19</v>
      </c>
      <c r="H193" t="s">
        <v>20</v>
      </c>
      <c r="I193" t="s">
        <v>21</v>
      </c>
      <c r="J193" t="s">
        <v>22</v>
      </c>
      <c r="K193" t="s">
        <v>23</v>
      </c>
      <c r="L193" t="str">
        <f ca="1">IFERROR(_xludf.XLOOKUP($G193&amp;"."&amp;$H193,CaseSource!$A$2:$A$371,CaseSource!$B$2:$B$371,""),"")</f>
        <v/>
      </c>
    </row>
    <row r="194" spans="1:12" x14ac:dyDescent="0.2">
      <c r="A194" t="s">
        <v>14</v>
      </c>
      <c r="B194" t="s">
        <v>15</v>
      </c>
      <c r="C194" t="s">
        <v>16</v>
      </c>
      <c r="D194" t="s">
        <v>17</v>
      </c>
      <c r="E194" t="s">
        <v>18</v>
      </c>
      <c r="F194">
        <v>2</v>
      </c>
      <c r="G194" t="s">
        <v>24</v>
      </c>
      <c r="H194" t="s">
        <v>25</v>
      </c>
      <c r="I194" t="s">
        <v>21</v>
      </c>
      <c r="J194" t="s">
        <v>22</v>
      </c>
      <c r="K194" t="s">
        <v>23</v>
      </c>
      <c r="L194" t="str">
        <f ca="1">IFERROR(_xludf.XLOOKUP($G194&amp;"."&amp;$H194,CaseSource!$A$2:$A$371,CaseSource!$B$2:$B$371,""),"")</f>
        <v/>
      </c>
    </row>
    <row r="195" spans="1:12" x14ac:dyDescent="0.2">
      <c r="A195" t="s">
        <v>14</v>
      </c>
      <c r="B195" t="s">
        <v>15</v>
      </c>
      <c r="C195" t="s">
        <v>16</v>
      </c>
      <c r="D195" t="s">
        <v>17</v>
      </c>
      <c r="E195" t="s">
        <v>18</v>
      </c>
      <c r="F195">
        <v>3</v>
      </c>
      <c r="G195" t="s">
        <v>24</v>
      </c>
      <c r="H195" t="s">
        <v>26</v>
      </c>
      <c r="I195" t="s">
        <v>21</v>
      </c>
      <c r="J195" t="s">
        <v>22</v>
      </c>
      <c r="K195" t="s">
        <v>23</v>
      </c>
      <c r="L195" t="str">
        <f ca="1">IFERROR(_xludf.XLOOKUP($G195&amp;"."&amp;$H195,CaseSource!$A$2:$A$371,CaseSource!$B$2:$B$371,""),"")</f>
        <v/>
      </c>
    </row>
    <row r="196" spans="1:12" x14ac:dyDescent="0.2">
      <c r="A196" t="s">
        <v>14</v>
      </c>
      <c r="B196" t="s">
        <v>15</v>
      </c>
      <c r="C196" t="s">
        <v>16</v>
      </c>
      <c r="D196" t="s">
        <v>17</v>
      </c>
      <c r="E196" t="s">
        <v>18</v>
      </c>
      <c r="F196">
        <v>4</v>
      </c>
      <c r="G196" t="s">
        <v>24</v>
      </c>
      <c r="H196" t="s">
        <v>27</v>
      </c>
      <c r="I196" t="s">
        <v>21</v>
      </c>
      <c r="J196" t="s">
        <v>22</v>
      </c>
      <c r="K196" t="s">
        <v>23</v>
      </c>
      <c r="L196" t="str">
        <f ca="1">IFERROR(_xludf.XLOOKUP($G196&amp;"."&amp;$H196,CaseSource!$A$2:$A$371,CaseSource!$B$2:$B$371,""),"")</f>
        <v/>
      </c>
    </row>
    <row r="197" spans="1:12" x14ac:dyDescent="0.2">
      <c r="A197" t="s">
        <v>14</v>
      </c>
      <c r="B197" t="s">
        <v>15</v>
      </c>
      <c r="C197" t="s">
        <v>16</v>
      </c>
      <c r="D197" t="s">
        <v>17</v>
      </c>
      <c r="E197" t="s">
        <v>18</v>
      </c>
      <c r="F197">
        <v>5</v>
      </c>
      <c r="G197" t="s">
        <v>24</v>
      </c>
      <c r="H197" t="s">
        <v>28</v>
      </c>
      <c r="I197" t="s">
        <v>21</v>
      </c>
      <c r="J197" t="s">
        <v>22</v>
      </c>
      <c r="K197" t="s">
        <v>23</v>
      </c>
      <c r="L197" t="str">
        <f ca="1">IFERROR(_xludf.XLOOKUP($G197&amp;"."&amp;$H197,CaseSource!$A$2:$A$371,CaseSource!$B$2:$B$371,""),"")</f>
        <v/>
      </c>
    </row>
    <row r="198" spans="1:12" x14ac:dyDescent="0.2">
      <c r="A198" t="s">
        <v>14</v>
      </c>
      <c r="B198" t="s">
        <v>15</v>
      </c>
      <c r="C198" t="s">
        <v>16</v>
      </c>
      <c r="D198" t="s">
        <v>17</v>
      </c>
      <c r="E198" t="s">
        <v>18</v>
      </c>
      <c r="F198">
        <v>6</v>
      </c>
      <c r="G198" t="s">
        <v>19</v>
      </c>
      <c r="H198" t="s">
        <v>25</v>
      </c>
      <c r="I198" t="s">
        <v>21</v>
      </c>
      <c r="J198" t="s">
        <v>22</v>
      </c>
      <c r="K198" t="s">
        <v>23</v>
      </c>
      <c r="L198" t="str">
        <f ca="1">IFERROR(_xludf.XLOOKUP($G198&amp;"."&amp;$H198,CaseSource!$A$2:$A$371,CaseSource!$B$2:$B$371,""),"")</f>
        <v/>
      </c>
    </row>
    <row r="199" spans="1:12" x14ac:dyDescent="0.2">
      <c r="A199" t="s">
        <v>14</v>
      </c>
      <c r="B199" t="s">
        <v>15</v>
      </c>
      <c r="C199" t="s">
        <v>16</v>
      </c>
      <c r="D199" t="s">
        <v>17</v>
      </c>
      <c r="E199" t="s">
        <v>18</v>
      </c>
      <c r="F199">
        <v>7</v>
      </c>
      <c r="G199" t="s">
        <v>19</v>
      </c>
      <c r="H199" t="s">
        <v>26</v>
      </c>
      <c r="I199" t="s">
        <v>21</v>
      </c>
      <c r="J199" t="s">
        <v>22</v>
      </c>
      <c r="K199" t="s">
        <v>23</v>
      </c>
      <c r="L199" t="str">
        <f ca="1">IFERROR(_xludf.XLOOKUP($G199&amp;"."&amp;$H199,CaseSource!$A$2:$A$371,CaseSource!$B$2:$B$371,""),"")</f>
        <v/>
      </c>
    </row>
    <row r="200" spans="1:12" x14ac:dyDescent="0.2">
      <c r="A200" t="s">
        <v>14</v>
      </c>
      <c r="B200" t="s">
        <v>15</v>
      </c>
      <c r="C200" t="s">
        <v>16</v>
      </c>
      <c r="D200" t="s">
        <v>17</v>
      </c>
      <c r="E200" t="s">
        <v>18</v>
      </c>
      <c r="F200">
        <v>8</v>
      </c>
      <c r="G200" t="s">
        <v>19</v>
      </c>
      <c r="H200" t="s">
        <v>29</v>
      </c>
      <c r="I200" t="s">
        <v>21</v>
      </c>
      <c r="J200" t="s">
        <v>22</v>
      </c>
      <c r="K200" t="s">
        <v>23</v>
      </c>
      <c r="L200" t="str">
        <f ca="1">IFERROR(_xludf.XLOOKUP($G200&amp;"."&amp;$H200,CaseSource!$A$2:$A$371,CaseSource!$B$2:$B$371,""),"")</f>
        <v/>
      </c>
    </row>
    <row r="201" spans="1:12" x14ac:dyDescent="0.2">
      <c r="A201" t="s">
        <v>114</v>
      </c>
      <c r="B201" t="s">
        <v>15</v>
      </c>
      <c r="C201" t="s">
        <v>16</v>
      </c>
      <c r="D201" t="s">
        <v>31</v>
      </c>
      <c r="F201">
        <v>1</v>
      </c>
      <c r="G201" t="s">
        <v>19</v>
      </c>
      <c r="H201" t="s">
        <v>115</v>
      </c>
      <c r="I201" t="s">
        <v>21</v>
      </c>
      <c r="J201" t="s">
        <v>22</v>
      </c>
      <c r="K201" t="s">
        <v>116</v>
      </c>
      <c r="L201" t="str">
        <f ca="1">IFERROR(_xludf.XLOOKUP($G201&amp;"."&amp;$H201,CaseSource!$A$2:$A$371,CaseSource!$B$2:$B$371,""),"")</f>
        <v/>
      </c>
    </row>
    <row r="202" spans="1:12" x14ac:dyDescent="0.2">
      <c r="A202" t="s">
        <v>114</v>
      </c>
      <c r="B202" t="s">
        <v>15</v>
      </c>
      <c r="C202" t="s">
        <v>16</v>
      </c>
      <c r="D202" t="s">
        <v>31</v>
      </c>
      <c r="F202">
        <v>2</v>
      </c>
      <c r="G202" t="s">
        <v>19</v>
      </c>
      <c r="H202" t="s">
        <v>117</v>
      </c>
      <c r="I202" t="s">
        <v>21</v>
      </c>
      <c r="J202" t="s">
        <v>22</v>
      </c>
      <c r="K202" t="s">
        <v>116</v>
      </c>
      <c r="L202" t="str">
        <f ca="1">IFERROR(_xludf.XLOOKUP($G202&amp;"."&amp;$H202,CaseSource!$A$2:$A$371,CaseSource!$B$2:$B$371,""),"")</f>
        <v/>
      </c>
    </row>
    <row r="203" spans="1:12" x14ac:dyDescent="0.2">
      <c r="A203" t="s">
        <v>114</v>
      </c>
      <c r="B203" t="s">
        <v>15</v>
      </c>
      <c r="C203" t="s">
        <v>16</v>
      </c>
      <c r="D203" t="s">
        <v>31</v>
      </c>
      <c r="F203">
        <v>3</v>
      </c>
      <c r="G203" t="s">
        <v>24</v>
      </c>
      <c r="H203" t="s">
        <v>118</v>
      </c>
      <c r="I203" t="s">
        <v>21</v>
      </c>
      <c r="J203" t="s">
        <v>22</v>
      </c>
      <c r="K203" t="s">
        <v>116</v>
      </c>
      <c r="L203" t="str">
        <f ca="1">IFERROR(_xludf.XLOOKUP($G203&amp;"."&amp;$H203,CaseSource!$A$2:$A$371,CaseSource!$B$2:$B$371,""),"")</f>
        <v/>
      </c>
    </row>
    <row r="204" spans="1:12" x14ac:dyDescent="0.2">
      <c r="A204" t="s">
        <v>175</v>
      </c>
      <c r="B204" t="s">
        <v>87</v>
      </c>
      <c r="C204" t="s">
        <v>96</v>
      </c>
      <c r="D204" t="s">
        <v>31</v>
      </c>
      <c r="F204">
        <v>1</v>
      </c>
      <c r="G204" t="s">
        <v>24</v>
      </c>
      <c r="H204" t="s">
        <v>176</v>
      </c>
      <c r="I204" t="s">
        <v>21</v>
      </c>
      <c r="J204" t="s">
        <v>22</v>
      </c>
      <c r="K204" t="s">
        <v>126</v>
      </c>
      <c r="L204" t="str">
        <f ca="1">IFERROR(_xludf.XLOOKUP($G204&amp;"."&amp;$H204,CaseSource!$A$2:$A$371,CaseSource!$B$2:$B$371,""),"")</f>
        <v/>
      </c>
    </row>
    <row r="205" spans="1:12" x14ac:dyDescent="0.2">
      <c r="A205" t="s">
        <v>177</v>
      </c>
      <c r="B205" t="s">
        <v>15</v>
      </c>
      <c r="C205" t="s">
        <v>166</v>
      </c>
      <c r="D205" t="s">
        <v>31</v>
      </c>
      <c r="F205">
        <v>1</v>
      </c>
      <c r="G205" t="s">
        <v>24</v>
      </c>
      <c r="H205" t="s">
        <v>176</v>
      </c>
      <c r="I205" t="s">
        <v>21</v>
      </c>
      <c r="J205" t="s">
        <v>22</v>
      </c>
      <c r="K205" t="s">
        <v>126</v>
      </c>
      <c r="L205" t="str">
        <f ca="1">IFERROR(_xludf.XLOOKUP($G205&amp;"."&amp;$H205,CaseSource!$A$2:$A$371,CaseSource!$B$2:$B$371,""),"")</f>
        <v/>
      </c>
    </row>
  </sheetData>
  <dataValidations count="2">
    <dataValidation type="list" allowBlank="1" sqref="G2:G5000" xr:uid="{00000000-0002-0000-0700-000000000000}">
      <formula1>LegacyFiles</formula1>
    </dataValidation>
    <dataValidation type="list" allowBlank="1" sqref="H2:H5000" xr:uid="{00000000-0002-0000-0700-000001000000}">
      <formula1>INDIRECT(SUBSTITUTE(SUBSTITUTE($G2,".json","")," ","_"))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71"/>
  <sheetViews>
    <sheetView tabSelected="1" topLeftCell="A333" workbookViewId="0">
      <selection activeCell="A371" sqref="A371"/>
    </sheetView>
  </sheetViews>
  <sheetFormatPr baseColWidth="10" defaultColWidth="8.83203125" defaultRowHeight="15" x14ac:dyDescent="0.2"/>
  <cols>
    <col min="1" max="1" width="57" customWidth="1"/>
    <col min="2" max="2" width="53" customWidth="1"/>
  </cols>
  <sheetData>
    <row r="1" spans="1:2" x14ac:dyDescent="0.2">
      <c r="A1" s="1" t="s">
        <v>949</v>
      </c>
      <c r="B1" s="1" t="s">
        <v>950</v>
      </c>
    </row>
    <row r="2" spans="1:2" x14ac:dyDescent="0.2">
      <c r="A2" t="s">
        <v>951</v>
      </c>
      <c r="B2" t="s">
        <v>952</v>
      </c>
    </row>
    <row r="3" spans="1:2" x14ac:dyDescent="0.2">
      <c r="A3" t="s">
        <v>953</v>
      </c>
      <c r="B3" t="s">
        <v>954</v>
      </c>
    </row>
    <row r="4" spans="1:2" x14ac:dyDescent="0.2">
      <c r="A4" t="s">
        <v>955</v>
      </c>
    </row>
    <row r="5" spans="1:2" x14ac:dyDescent="0.2">
      <c r="A5" t="s">
        <v>956</v>
      </c>
      <c r="B5" t="s">
        <v>957</v>
      </c>
    </row>
    <row r="6" spans="1:2" x14ac:dyDescent="0.2">
      <c r="A6" t="s">
        <v>958</v>
      </c>
      <c r="B6" t="s">
        <v>959</v>
      </c>
    </row>
    <row r="7" spans="1:2" x14ac:dyDescent="0.2">
      <c r="A7" t="s">
        <v>960</v>
      </c>
      <c r="B7" t="s">
        <v>961</v>
      </c>
    </row>
    <row r="8" spans="1:2" x14ac:dyDescent="0.2">
      <c r="A8" t="s">
        <v>962</v>
      </c>
      <c r="B8" t="s">
        <v>963</v>
      </c>
    </row>
    <row r="9" spans="1:2" x14ac:dyDescent="0.2">
      <c r="A9" t="s">
        <v>964</v>
      </c>
      <c r="B9" t="s">
        <v>965</v>
      </c>
    </row>
    <row r="10" spans="1:2" x14ac:dyDescent="0.2">
      <c r="A10" t="s">
        <v>966</v>
      </c>
      <c r="B10" t="s">
        <v>967</v>
      </c>
    </row>
    <row r="11" spans="1:2" x14ac:dyDescent="0.2">
      <c r="A11" t="s">
        <v>968</v>
      </c>
    </row>
    <row r="12" spans="1:2" x14ac:dyDescent="0.2">
      <c r="A12" t="s">
        <v>969</v>
      </c>
      <c r="B12" t="s">
        <v>970</v>
      </c>
    </row>
    <row r="13" spans="1:2" x14ac:dyDescent="0.2">
      <c r="A13" t="s">
        <v>971</v>
      </c>
    </row>
    <row r="14" spans="1:2" x14ac:dyDescent="0.2">
      <c r="A14" t="s">
        <v>972</v>
      </c>
      <c r="B14" t="s">
        <v>973</v>
      </c>
    </row>
    <row r="15" spans="1:2" x14ac:dyDescent="0.2">
      <c r="A15" t="s">
        <v>974</v>
      </c>
    </row>
    <row r="16" spans="1:2" x14ac:dyDescent="0.2">
      <c r="A16" t="s">
        <v>975</v>
      </c>
      <c r="B16" t="s">
        <v>976</v>
      </c>
    </row>
    <row r="17" spans="1:2" x14ac:dyDescent="0.2">
      <c r="A17" t="s">
        <v>977</v>
      </c>
      <c r="B17" t="s">
        <v>978</v>
      </c>
    </row>
    <row r="18" spans="1:2" x14ac:dyDescent="0.2">
      <c r="A18" t="s">
        <v>979</v>
      </c>
    </row>
    <row r="19" spans="1:2" x14ac:dyDescent="0.2">
      <c r="A19" t="s">
        <v>980</v>
      </c>
      <c r="B19" t="s">
        <v>952</v>
      </c>
    </row>
    <row r="20" spans="1:2" x14ac:dyDescent="0.2">
      <c r="A20" t="s">
        <v>981</v>
      </c>
      <c r="B20" t="s">
        <v>982</v>
      </c>
    </row>
    <row r="21" spans="1:2" x14ac:dyDescent="0.2">
      <c r="A21" t="s">
        <v>983</v>
      </c>
      <c r="B21" t="s">
        <v>984</v>
      </c>
    </row>
    <row r="22" spans="1:2" x14ac:dyDescent="0.2">
      <c r="A22" t="s">
        <v>985</v>
      </c>
      <c r="B22" t="s">
        <v>986</v>
      </c>
    </row>
    <row r="23" spans="1:2" x14ac:dyDescent="0.2">
      <c r="A23" t="s">
        <v>987</v>
      </c>
      <c r="B23" t="s">
        <v>988</v>
      </c>
    </row>
    <row r="24" spans="1:2" x14ac:dyDescent="0.2">
      <c r="A24" t="s">
        <v>989</v>
      </c>
    </row>
    <row r="25" spans="1:2" x14ac:dyDescent="0.2">
      <c r="A25" t="s">
        <v>990</v>
      </c>
    </row>
    <row r="26" spans="1:2" x14ac:dyDescent="0.2">
      <c r="A26" t="s">
        <v>991</v>
      </c>
      <c r="B26" t="s">
        <v>961</v>
      </c>
    </row>
    <row r="27" spans="1:2" x14ac:dyDescent="0.2">
      <c r="A27" t="s">
        <v>992</v>
      </c>
      <c r="B27" t="s">
        <v>993</v>
      </c>
    </row>
    <row r="28" spans="1:2" x14ac:dyDescent="0.2">
      <c r="A28" t="s">
        <v>994</v>
      </c>
    </row>
    <row r="29" spans="1:2" x14ac:dyDescent="0.2">
      <c r="A29" t="s">
        <v>995</v>
      </c>
    </row>
    <row r="30" spans="1:2" x14ac:dyDescent="0.2">
      <c r="A30" t="s">
        <v>996</v>
      </c>
      <c r="B30" t="s">
        <v>997</v>
      </c>
    </row>
    <row r="31" spans="1:2" x14ac:dyDescent="0.2">
      <c r="A31" t="s">
        <v>998</v>
      </c>
    </row>
    <row r="32" spans="1:2" x14ac:dyDescent="0.2">
      <c r="A32" t="s">
        <v>999</v>
      </c>
    </row>
    <row r="33" spans="1:2" x14ac:dyDescent="0.2">
      <c r="A33" t="s">
        <v>1000</v>
      </c>
    </row>
    <row r="34" spans="1:2" x14ac:dyDescent="0.2">
      <c r="A34" t="s">
        <v>1001</v>
      </c>
    </row>
    <row r="35" spans="1:2" x14ac:dyDescent="0.2">
      <c r="A35" t="s">
        <v>1002</v>
      </c>
    </row>
    <row r="36" spans="1:2" x14ac:dyDescent="0.2">
      <c r="A36" t="s">
        <v>1003</v>
      </c>
    </row>
    <row r="37" spans="1:2" x14ac:dyDescent="0.2">
      <c r="A37" t="s">
        <v>1004</v>
      </c>
    </row>
    <row r="38" spans="1:2" x14ac:dyDescent="0.2">
      <c r="A38" t="s">
        <v>1005</v>
      </c>
      <c r="B38" t="s">
        <v>1006</v>
      </c>
    </row>
    <row r="39" spans="1:2" x14ac:dyDescent="0.2">
      <c r="A39" t="s">
        <v>1007</v>
      </c>
      <c r="B39" t="s">
        <v>1008</v>
      </c>
    </row>
    <row r="40" spans="1:2" x14ac:dyDescent="0.2">
      <c r="A40" t="s">
        <v>1009</v>
      </c>
      <c r="B40" t="s">
        <v>1010</v>
      </c>
    </row>
    <row r="41" spans="1:2" x14ac:dyDescent="0.2">
      <c r="A41" t="s">
        <v>1011</v>
      </c>
      <c r="B41" t="s">
        <v>1012</v>
      </c>
    </row>
    <row r="42" spans="1:2" x14ac:dyDescent="0.2">
      <c r="A42" t="s">
        <v>1013</v>
      </c>
      <c r="B42" t="s">
        <v>963</v>
      </c>
    </row>
    <row r="43" spans="1:2" x14ac:dyDescent="0.2">
      <c r="A43" t="s">
        <v>1014</v>
      </c>
      <c r="B43" t="s">
        <v>1015</v>
      </c>
    </row>
    <row r="44" spans="1:2" x14ac:dyDescent="0.2">
      <c r="A44" t="s">
        <v>1016</v>
      </c>
      <c r="B44" t="s">
        <v>1017</v>
      </c>
    </row>
    <row r="45" spans="1:2" x14ac:dyDescent="0.2">
      <c r="A45" t="s">
        <v>1018</v>
      </c>
      <c r="B45" t="s">
        <v>1019</v>
      </c>
    </row>
    <row r="46" spans="1:2" x14ac:dyDescent="0.2">
      <c r="A46" t="s">
        <v>1020</v>
      </c>
    </row>
    <row r="47" spans="1:2" x14ac:dyDescent="0.2">
      <c r="A47" t="s">
        <v>1021</v>
      </c>
      <c r="B47" t="s">
        <v>1022</v>
      </c>
    </row>
    <row r="48" spans="1:2" x14ac:dyDescent="0.2">
      <c r="A48" t="s">
        <v>1023</v>
      </c>
      <c r="B48" t="s">
        <v>1024</v>
      </c>
    </row>
    <row r="49" spans="1:2" x14ac:dyDescent="0.2">
      <c r="A49" t="s">
        <v>1025</v>
      </c>
      <c r="B49" t="s">
        <v>1026</v>
      </c>
    </row>
    <row r="50" spans="1:2" x14ac:dyDescent="0.2">
      <c r="A50" t="s">
        <v>1027</v>
      </c>
    </row>
    <row r="51" spans="1:2" x14ac:dyDescent="0.2">
      <c r="A51" t="s">
        <v>1028</v>
      </c>
    </row>
    <row r="52" spans="1:2" x14ac:dyDescent="0.2">
      <c r="A52" t="s">
        <v>1029</v>
      </c>
    </row>
    <row r="53" spans="1:2" x14ac:dyDescent="0.2">
      <c r="A53" t="s">
        <v>1030</v>
      </c>
      <c r="B53" t="s">
        <v>1031</v>
      </c>
    </row>
    <row r="54" spans="1:2" x14ac:dyDescent="0.2">
      <c r="A54" t="s">
        <v>1032</v>
      </c>
      <c r="B54" t="s">
        <v>1033</v>
      </c>
    </row>
    <row r="55" spans="1:2" x14ac:dyDescent="0.2">
      <c r="A55" t="s">
        <v>1034</v>
      </c>
      <c r="B55" t="s">
        <v>1035</v>
      </c>
    </row>
    <row r="56" spans="1:2" x14ac:dyDescent="0.2">
      <c r="A56" t="s">
        <v>1036</v>
      </c>
      <c r="B56" t="s">
        <v>1037</v>
      </c>
    </row>
    <row r="57" spans="1:2" x14ac:dyDescent="0.2">
      <c r="A57" t="s">
        <v>1038</v>
      </c>
      <c r="B57" t="s">
        <v>970</v>
      </c>
    </row>
    <row r="58" spans="1:2" x14ac:dyDescent="0.2">
      <c r="A58" t="s">
        <v>1039</v>
      </c>
    </row>
    <row r="59" spans="1:2" x14ac:dyDescent="0.2">
      <c r="A59" t="s">
        <v>1040</v>
      </c>
      <c r="B59" t="s">
        <v>1041</v>
      </c>
    </row>
    <row r="60" spans="1:2" x14ac:dyDescent="0.2">
      <c r="A60" t="s">
        <v>1042</v>
      </c>
      <c r="B60" t="s">
        <v>1043</v>
      </c>
    </row>
    <row r="61" spans="1:2" x14ac:dyDescent="0.2">
      <c r="A61" t="s">
        <v>1044</v>
      </c>
      <c r="B61" t="s">
        <v>1045</v>
      </c>
    </row>
    <row r="62" spans="1:2" x14ac:dyDescent="0.2">
      <c r="A62" t="s">
        <v>1046</v>
      </c>
      <c r="B62" t="s">
        <v>1045</v>
      </c>
    </row>
    <row r="63" spans="1:2" x14ac:dyDescent="0.2">
      <c r="A63" t="s">
        <v>1047</v>
      </c>
      <c r="B63" t="s">
        <v>1045</v>
      </c>
    </row>
    <row r="64" spans="1:2" x14ac:dyDescent="0.2">
      <c r="A64" t="s">
        <v>1048</v>
      </c>
      <c r="B64" t="s">
        <v>1049</v>
      </c>
    </row>
    <row r="65" spans="1:2" x14ac:dyDescent="0.2">
      <c r="A65" t="s">
        <v>1050</v>
      </c>
    </row>
    <row r="66" spans="1:2" x14ac:dyDescent="0.2">
      <c r="A66" t="s">
        <v>1051</v>
      </c>
    </row>
    <row r="67" spans="1:2" x14ac:dyDescent="0.2">
      <c r="A67" t="s">
        <v>1052</v>
      </c>
    </row>
    <row r="68" spans="1:2" x14ac:dyDescent="0.2">
      <c r="A68" t="s">
        <v>1053</v>
      </c>
      <c r="B68" t="s">
        <v>1054</v>
      </c>
    </row>
    <row r="69" spans="1:2" x14ac:dyDescent="0.2">
      <c r="A69" t="s">
        <v>1055</v>
      </c>
      <c r="B69" t="s">
        <v>1056</v>
      </c>
    </row>
    <row r="70" spans="1:2" x14ac:dyDescent="0.2">
      <c r="A70" t="s">
        <v>1057</v>
      </c>
    </row>
    <row r="71" spans="1:2" x14ac:dyDescent="0.2">
      <c r="A71" t="s">
        <v>1058</v>
      </c>
      <c r="B71" t="s">
        <v>1059</v>
      </c>
    </row>
    <row r="72" spans="1:2" x14ac:dyDescent="0.2">
      <c r="A72" t="s">
        <v>1060</v>
      </c>
    </row>
    <row r="73" spans="1:2" x14ac:dyDescent="0.2">
      <c r="A73" t="s">
        <v>1061</v>
      </c>
    </row>
    <row r="74" spans="1:2" x14ac:dyDescent="0.2">
      <c r="A74" t="s">
        <v>1062</v>
      </c>
    </row>
    <row r="75" spans="1:2" x14ac:dyDescent="0.2">
      <c r="A75" t="s">
        <v>1063</v>
      </c>
      <c r="B75" t="s">
        <v>1045</v>
      </c>
    </row>
    <row r="76" spans="1:2" x14ac:dyDescent="0.2">
      <c r="A76" t="s">
        <v>1064</v>
      </c>
      <c r="B76" t="s">
        <v>1065</v>
      </c>
    </row>
    <row r="77" spans="1:2" x14ac:dyDescent="0.2">
      <c r="A77" t="s">
        <v>1066</v>
      </c>
      <c r="B77" t="s">
        <v>1067</v>
      </c>
    </row>
    <row r="78" spans="1:2" x14ac:dyDescent="0.2">
      <c r="A78" t="s">
        <v>1068</v>
      </c>
      <c r="B78" t="s">
        <v>1069</v>
      </c>
    </row>
    <row r="79" spans="1:2" x14ac:dyDescent="0.2">
      <c r="A79" t="s">
        <v>1070</v>
      </c>
    </row>
    <row r="80" spans="1:2" x14ac:dyDescent="0.2">
      <c r="A80" t="s">
        <v>1071</v>
      </c>
      <c r="B80" t="s">
        <v>1072</v>
      </c>
    </row>
    <row r="81" spans="1:2" x14ac:dyDescent="0.2">
      <c r="A81" t="s">
        <v>1073</v>
      </c>
      <c r="B81" t="s">
        <v>976</v>
      </c>
    </row>
    <row r="82" spans="1:2" x14ac:dyDescent="0.2">
      <c r="A82" t="s">
        <v>1074</v>
      </c>
    </row>
    <row r="83" spans="1:2" x14ac:dyDescent="0.2">
      <c r="A83" t="s">
        <v>1075</v>
      </c>
    </row>
    <row r="84" spans="1:2" x14ac:dyDescent="0.2">
      <c r="A84" t="s">
        <v>1076</v>
      </c>
      <c r="B84" t="s">
        <v>1077</v>
      </c>
    </row>
    <row r="85" spans="1:2" x14ac:dyDescent="0.2">
      <c r="A85" t="s">
        <v>1078</v>
      </c>
      <c r="B85" t="s">
        <v>1079</v>
      </c>
    </row>
    <row r="86" spans="1:2" x14ac:dyDescent="0.2">
      <c r="A86" t="s">
        <v>1080</v>
      </c>
    </row>
    <row r="87" spans="1:2" x14ac:dyDescent="0.2">
      <c r="A87" t="s">
        <v>1081</v>
      </c>
    </row>
    <row r="88" spans="1:2" x14ac:dyDescent="0.2">
      <c r="A88" t="s">
        <v>1082</v>
      </c>
      <c r="B88" t="s">
        <v>1083</v>
      </c>
    </row>
    <row r="89" spans="1:2" x14ac:dyDescent="0.2">
      <c r="A89" t="s">
        <v>1084</v>
      </c>
    </row>
    <row r="90" spans="1:2" x14ac:dyDescent="0.2">
      <c r="A90" t="s">
        <v>1085</v>
      </c>
      <c r="B90" t="s">
        <v>1086</v>
      </c>
    </row>
    <row r="91" spans="1:2" x14ac:dyDescent="0.2">
      <c r="A91" t="s">
        <v>1087</v>
      </c>
      <c r="B91" t="s">
        <v>1088</v>
      </c>
    </row>
    <row r="92" spans="1:2" x14ac:dyDescent="0.2">
      <c r="A92" t="s">
        <v>1089</v>
      </c>
      <c r="B92" t="s">
        <v>1090</v>
      </c>
    </row>
    <row r="93" spans="1:2" x14ac:dyDescent="0.2">
      <c r="A93" t="s">
        <v>1091</v>
      </c>
      <c r="B93" t="s">
        <v>1092</v>
      </c>
    </row>
    <row r="94" spans="1:2" x14ac:dyDescent="0.2">
      <c r="A94" t="s">
        <v>1093</v>
      </c>
      <c r="B94" t="s">
        <v>1094</v>
      </c>
    </row>
    <row r="95" spans="1:2" x14ac:dyDescent="0.2">
      <c r="A95" t="s">
        <v>1095</v>
      </c>
      <c r="B95" t="s">
        <v>1096</v>
      </c>
    </row>
    <row r="96" spans="1:2" x14ac:dyDescent="0.2">
      <c r="A96" t="s">
        <v>1097</v>
      </c>
      <c r="B96" t="s">
        <v>1098</v>
      </c>
    </row>
    <row r="97" spans="1:2" x14ac:dyDescent="0.2">
      <c r="A97" t="s">
        <v>1099</v>
      </c>
      <c r="B97" t="s">
        <v>1100</v>
      </c>
    </row>
    <row r="98" spans="1:2" x14ac:dyDescent="0.2">
      <c r="A98" t="s">
        <v>1101</v>
      </c>
      <c r="B98" t="s">
        <v>1102</v>
      </c>
    </row>
    <row r="99" spans="1:2" x14ac:dyDescent="0.2">
      <c r="A99" t="s">
        <v>1103</v>
      </c>
      <c r="B99" t="s">
        <v>1104</v>
      </c>
    </row>
    <row r="100" spans="1:2" x14ac:dyDescent="0.2">
      <c r="A100" t="s">
        <v>1105</v>
      </c>
      <c r="B100" t="s">
        <v>1106</v>
      </c>
    </row>
    <row r="101" spans="1:2" x14ac:dyDescent="0.2">
      <c r="A101" t="s">
        <v>1107</v>
      </c>
      <c r="B101" t="s">
        <v>1100</v>
      </c>
    </row>
    <row r="102" spans="1:2" x14ac:dyDescent="0.2">
      <c r="A102" t="s">
        <v>1108</v>
      </c>
      <c r="B102" t="s">
        <v>1033</v>
      </c>
    </row>
    <row r="103" spans="1:2" x14ac:dyDescent="0.2">
      <c r="A103" t="s">
        <v>1109</v>
      </c>
    </row>
    <row r="104" spans="1:2" x14ac:dyDescent="0.2">
      <c r="A104" t="s">
        <v>1110</v>
      </c>
    </row>
    <row r="105" spans="1:2" x14ac:dyDescent="0.2">
      <c r="A105" t="s">
        <v>1111</v>
      </c>
    </row>
    <row r="106" spans="1:2" x14ac:dyDescent="0.2">
      <c r="A106" t="s">
        <v>1112</v>
      </c>
    </row>
    <row r="107" spans="1:2" x14ac:dyDescent="0.2">
      <c r="A107" t="s">
        <v>1113</v>
      </c>
      <c r="B107" t="s">
        <v>954</v>
      </c>
    </row>
    <row r="108" spans="1:2" x14ac:dyDescent="0.2">
      <c r="A108" t="s">
        <v>1114</v>
      </c>
    </row>
    <row r="109" spans="1:2" x14ac:dyDescent="0.2">
      <c r="A109" t="s">
        <v>1115</v>
      </c>
      <c r="B109" t="s">
        <v>959</v>
      </c>
    </row>
    <row r="110" spans="1:2" x14ac:dyDescent="0.2">
      <c r="A110" t="s">
        <v>1116</v>
      </c>
      <c r="B110" t="s">
        <v>976</v>
      </c>
    </row>
    <row r="111" spans="1:2" x14ac:dyDescent="0.2">
      <c r="A111" t="s">
        <v>1117</v>
      </c>
    </row>
    <row r="112" spans="1:2" x14ac:dyDescent="0.2">
      <c r="A112" t="s">
        <v>1118</v>
      </c>
    </row>
    <row r="113" spans="1:2" x14ac:dyDescent="0.2">
      <c r="A113" t="s">
        <v>1119</v>
      </c>
      <c r="B113" t="s">
        <v>978</v>
      </c>
    </row>
    <row r="114" spans="1:2" x14ac:dyDescent="0.2">
      <c r="A114" t="s">
        <v>1120</v>
      </c>
      <c r="B114" t="s">
        <v>1121</v>
      </c>
    </row>
    <row r="115" spans="1:2" x14ac:dyDescent="0.2">
      <c r="A115" t="s">
        <v>1122</v>
      </c>
    </row>
    <row r="116" spans="1:2" x14ac:dyDescent="0.2">
      <c r="A116" t="s">
        <v>1123</v>
      </c>
      <c r="B116" t="s">
        <v>1019</v>
      </c>
    </row>
    <row r="117" spans="1:2" x14ac:dyDescent="0.2">
      <c r="A117" t="s">
        <v>1124</v>
      </c>
      <c r="B117" t="s">
        <v>1125</v>
      </c>
    </row>
    <row r="118" spans="1:2" x14ac:dyDescent="0.2">
      <c r="A118" t="s">
        <v>1126</v>
      </c>
      <c r="B118" t="s">
        <v>1127</v>
      </c>
    </row>
    <row r="119" spans="1:2" x14ac:dyDescent="0.2">
      <c r="A119" t="s">
        <v>1128</v>
      </c>
      <c r="B119" t="s">
        <v>1127</v>
      </c>
    </row>
    <row r="120" spans="1:2" x14ac:dyDescent="0.2">
      <c r="A120" t="s">
        <v>1129</v>
      </c>
      <c r="B120" t="s">
        <v>1130</v>
      </c>
    </row>
    <row r="121" spans="1:2" x14ac:dyDescent="0.2">
      <c r="A121" t="s">
        <v>1131</v>
      </c>
      <c r="B121" t="s">
        <v>1132</v>
      </c>
    </row>
    <row r="122" spans="1:2" x14ac:dyDescent="0.2">
      <c r="A122" t="s">
        <v>1133</v>
      </c>
      <c r="B122" t="s">
        <v>952</v>
      </c>
    </row>
    <row r="123" spans="1:2" x14ac:dyDescent="0.2">
      <c r="A123" t="s">
        <v>1134</v>
      </c>
      <c r="B123" t="s">
        <v>1135</v>
      </c>
    </row>
    <row r="124" spans="1:2" x14ac:dyDescent="0.2">
      <c r="A124" t="s">
        <v>1136</v>
      </c>
    </row>
    <row r="125" spans="1:2" x14ac:dyDescent="0.2">
      <c r="A125" t="s">
        <v>1137</v>
      </c>
      <c r="B125" t="s">
        <v>1138</v>
      </c>
    </row>
    <row r="126" spans="1:2" x14ac:dyDescent="0.2">
      <c r="A126" t="s">
        <v>1139</v>
      </c>
    </row>
    <row r="127" spans="1:2" x14ac:dyDescent="0.2">
      <c r="A127" t="s">
        <v>1140</v>
      </c>
      <c r="B127" t="s">
        <v>1141</v>
      </c>
    </row>
    <row r="128" spans="1:2" x14ac:dyDescent="0.2">
      <c r="A128" t="s">
        <v>1142</v>
      </c>
      <c r="B128" t="s">
        <v>961</v>
      </c>
    </row>
    <row r="129" spans="1:2" x14ac:dyDescent="0.2">
      <c r="A129" t="s">
        <v>1143</v>
      </c>
      <c r="B129" t="s">
        <v>963</v>
      </c>
    </row>
    <row r="130" spans="1:2" x14ac:dyDescent="0.2">
      <c r="A130" t="s">
        <v>1144</v>
      </c>
      <c r="B130" t="s">
        <v>970</v>
      </c>
    </row>
    <row r="131" spans="1:2" x14ac:dyDescent="0.2">
      <c r="A131" t="s">
        <v>1145</v>
      </c>
      <c r="B131" t="s">
        <v>1045</v>
      </c>
    </row>
    <row r="132" spans="1:2" x14ac:dyDescent="0.2">
      <c r="A132" t="s">
        <v>1146</v>
      </c>
    </row>
    <row r="133" spans="1:2" x14ac:dyDescent="0.2">
      <c r="A133" t="s">
        <v>1147</v>
      </c>
    </row>
    <row r="134" spans="1:2" x14ac:dyDescent="0.2">
      <c r="A134" t="s">
        <v>1148</v>
      </c>
    </row>
    <row r="135" spans="1:2" x14ac:dyDescent="0.2">
      <c r="A135" t="s">
        <v>1149</v>
      </c>
      <c r="B135" t="s">
        <v>1150</v>
      </c>
    </row>
    <row r="136" spans="1:2" x14ac:dyDescent="0.2">
      <c r="A136" t="s">
        <v>1151</v>
      </c>
      <c r="B136" t="s">
        <v>1152</v>
      </c>
    </row>
    <row r="137" spans="1:2" x14ac:dyDescent="0.2">
      <c r="A137" t="s">
        <v>1153</v>
      </c>
    </row>
    <row r="138" spans="1:2" x14ac:dyDescent="0.2">
      <c r="A138" t="s">
        <v>1154</v>
      </c>
    </row>
    <row r="139" spans="1:2" x14ac:dyDescent="0.2">
      <c r="A139" t="s">
        <v>1155</v>
      </c>
      <c r="B139" t="s">
        <v>1156</v>
      </c>
    </row>
    <row r="140" spans="1:2" x14ac:dyDescent="0.2">
      <c r="A140" t="s">
        <v>1157</v>
      </c>
      <c r="B140" t="s">
        <v>1158</v>
      </c>
    </row>
    <row r="141" spans="1:2" x14ac:dyDescent="0.2">
      <c r="A141" t="s">
        <v>1159</v>
      </c>
      <c r="B141" t="s">
        <v>1054</v>
      </c>
    </row>
    <row r="142" spans="1:2" x14ac:dyDescent="0.2">
      <c r="A142" t="s">
        <v>1160</v>
      </c>
      <c r="B142" t="s">
        <v>1161</v>
      </c>
    </row>
    <row r="143" spans="1:2" x14ac:dyDescent="0.2">
      <c r="A143" t="s">
        <v>1162</v>
      </c>
      <c r="B143" t="s">
        <v>1125</v>
      </c>
    </row>
    <row r="144" spans="1:2" x14ac:dyDescent="0.2">
      <c r="A144" t="s">
        <v>1163</v>
      </c>
    </row>
    <row r="145" spans="1:2" x14ac:dyDescent="0.2">
      <c r="A145" t="s">
        <v>1164</v>
      </c>
    </row>
    <row r="146" spans="1:2" x14ac:dyDescent="0.2">
      <c r="A146" t="s">
        <v>1165</v>
      </c>
    </row>
    <row r="147" spans="1:2" x14ac:dyDescent="0.2">
      <c r="A147" t="s">
        <v>1166</v>
      </c>
      <c r="B147" t="s">
        <v>1167</v>
      </c>
    </row>
    <row r="148" spans="1:2" x14ac:dyDescent="0.2">
      <c r="A148" t="s">
        <v>1168</v>
      </c>
      <c r="B148" t="s">
        <v>1019</v>
      </c>
    </row>
    <row r="149" spans="1:2" x14ac:dyDescent="0.2">
      <c r="A149" t="s">
        <v>1169</v>
      </c>
      <c r="B149" t="s">
        <v>1170</v>
      </c>
    </row>
    <row r="150" spans="1:2" x14ac:dyDescent="0.2">
      <c r="A150" t="s">
        <v>1171</v>
      </c>
      <c r="B150" t="s">
        <v>970</v>
      </c>
    </row>
    <row r="151" spans="1:2" x14ac:dyDescent="0.2">
      <c r="A151" t="s">
        <v>1172</v>
      </c>
      <c r="B151" t="s">
        <v>1059</v>
      </c>
    </row>
    <row r="152" spans="1:2" x14ac:dyDescent="0.2">
      <c r="A152" t="s">
        <v>1173</v>
      </c>
    </row>
    <row r="153" spans="1:2" x14ac:dyDescent="0.2">
      <c r="A153" t="s">
        <v>1174</v>
      </c>
      <c r="B153" t="s">
        <v>1175</v>
      </c>
    </row>
    <row r="154" spans="1:2" x14ac:dyDescent="0.2">
      <c r="A154" t="s">
        <v>1176</v>
      </c>
    </row>
    <row r="155" spans="1:2" x14ac:dyDescent="0.2">
      <c r="A155" t="s">
        <v>1177</v>
      </c>
      <c r="B155" t="s">
        <v>961</v>
      </c>
    </row>
    <row r="156" spans="1:2" x14ac:dyDescent="0.2">
      <c r="A156" t="s">
        <v>1178</v>
      </c>
      <c r="B156" t="s">
        <v>952</v>
      </c>
    </row>
    <row r="157" spans="1:2" x14ac:dyDescent="0.2">
      <c r="A157" t="s">
        <v>1179</v>
      </c>
    </row>
    <row r="158" spans="1:2" x14ac:dyDescent="0.2">
      <c r="A158" t="s">
        <v>1180</v>
      </c>
      <c r="B158" t="s">
        <v>1012</v>
      </c>
    </row>
    <row r="159" spans="1:2" x14ac:dyDescent="0.2">
      <c r="A159" t="s">
        <v>1181</v>
      </c>
      <c r="B159" t="s">
        <v>963</v>
      </c>
    </row>
    <row r="160" spans="1:2" x14ac:dyDescent="0.2">
      <c r="A160" t="s">
        <v>1182</v>
      </c>
    </row>
    <row r="161" spans="1:2" x14ac:dyDescent="0.2">
      <c r="A161" t="s">
        <v>1183</v>
      </c>
      <c r="B161" t="s">
        <v>1184</v>
      </c>
    </row>
    <row r="162" spans="1:2" x14ac:dyDescent="0.2">
      <c r="A162" t="s">
        <v>1185</v>
      </c>
    </row>
    <row r="163" spans="1:2" x14ac:dyDescent="0.2">
      <c r="A163" t="s">
        <v>1186</v>
      </c>
      <c r="B163" t="s">
        <v>1187</v>
      </c>
    </row>
    <row r="164" spans="1:2" x14ac:dyDescent="0.2">
      <c r="A164" t="s">
        <v>1188</v>
      </c>
      <c r="B164" t="s">
        <v>993</v>
      </c>
    </row>
    <row r="165" spans="1:2" x14ac:dyDescent="0.2">
      <c r="A165" t="s">
        <v>1189</v>
      </c>
    </row>
    <row r="166" spans="1:2" x14ac:dyDescent="0.2">
      <c r="A166" t="s">
        <v>1190</v>
      </c>
    </row>
    <row r="167" spans="1:2" x14ac:dyDescent="0.2">
      <c r="A167" t="s">
        <v>1191</v>
      </c>
    </row>
    <row r="168" spans="1:2" x14ac:dyDescent="0.2">
      <c r="A168" t="s">
        <v>1192</v>
      </c>
    </row>
    <row r="169" spans="1:2" x14ac:dyDescent="0.2">
      <c r="A169" t="s">
        <v>1193</v>
      </c>
      <c r="B169" t="s">
        <v>993</v>
      </c>
    </row>
    <row r="170" spans="1:2" x14ac:dyDescent="0.2">
      <c r="A170" t="s">
        <v>1194</v>
      </c>
    </row>
    <row r="171" spans="1:2" x14ac:dyDescent="0.2">
      <c r="A171" t="s">
        <v>1195</v>
      </c>
    </row>
    <row r="172" spans="1:2" x14ac:dyDescent="0.2">
      <c r="A172" t="s">
        <v>1196</v>
      </c>
      <c r="B172" t="s">
        <v>1045</v>
      </c>
    </row>
    <row r="173" spans="1:2" x14ac:dyDescent="0.2">
      <c r="A173" t="s">
        <v>1197</v>
      </c>
      <c r="B173" t="s">
        <v>1019</v>
      </c>
    </row>
    <row r="174" spans="1:2" x14ac:dyDescent="0.2">
      <c r="A174" t="s">
        <v>1198</v>
      </c>
    </row>
    <row r="175" spans="1:2" x14ac:dyDescent="0.2">
      <c r="A175" t="s">
        <v>1199</v>
      </c>
    </row>
    <row r="176" spans="1:2" x14ac:dyDescent="0.2">
      <c r="A176" t="s">
        <v>1200</v>
      </c>
    </row>
    <row r="177" spans="1:2" x14ac:dyDescent="0.2">
      <c r="A177" t="s">
        <v>1201</v>
      </c>
    </row>
    <row r="178" spans="1:2" x14ac:dyDescent="0.2">
      <c r="A178" t="s">
        <v>1202</v>
      </c>
      <c r="B178" t="s">
        <v>984</v>
      </c>
    </row>
    <row r="179" spans="1:2" x14ac:dyDescent="0.2">
      <c r="A179" t="s">
        <v>1203</v>
      </c>
      <c r="B179" t="s">
        <v>1204</v>
      </c>
    </row>
    <row r="180" spans="1:2" x14ac:dyDescent="0.2">
      <c r="A180" t="s">
        <v>1205</v>
      </c>
    </row>
    <row r="181" spans="1:2" x14ac:dyDescent="0.2">
      <c r="A181" t="s">
        <v>1206</v>
      </c>
      <c r="B181" t="s">
        <v>1207</v>
      </c>
    </row>
    <row r="182" spans="1:2" x14ac:dyDescent="0.2">
      <c r="A182" t="s">
        <v>1208</v>
      </c>
      <c r="B182" t="s">
        <v>1209</v>
      </c>
    </row>
    <row r="183" spans="1:2" x14ac:dyDescent="0.2">
      <c r="A183" t="s">
        <v>1210</v>
      </c>
    </row>
    <row r="184" spans="1:2" x14ac:dyDescent="0.2">
      <c r="A184" t="s">
        <v>1211</v>
      </c>
      <c r="B184" t="s">
        <v>1031</v>
      </c>
    </row>
    <row r="185" spans="1:2" x14ac:dyDescent="0.2">
      <c r="A185" t="s">
        <v>1212</v>
      </c>
      <c r="B185" t="s">
        <v>1156</v>
      </c>
    </row>
    <row r="186" spans="1:2" x14ac:dyDescent="0.2">
      <c r="A186" t="s">
        <v>1213</v>
      </c>
      <c r="B186" t="s">
        <v>1158</v>
      </c>
    </row>
    <row r="187" spans="1:2" x14ac:dyDescent="0.2">
      <c r="A187" t="s">
        <v>1214</v>
      </c>
      <c r="B187" t="s">
        <v>1215</v>
      </c>
    </row>
    <row r="188" spans="1:2" x14ac:dyDescent="0.2">
      <c r="A188" t="s">
        <v>1216</v>
      </c>
      <c r="B188" t="s">
        <v>1217</v>
      </c>
    </row>
    <row r="189" spans="1:2" x14ac:dyDescent="0.2">
      <c r="A189" t="s">
        <v>1218</v>
      </c>
    </row>
    <row r="190" spans="1:2" x14ac:dyDescent="0.2">
      <c r="A190" t="s">
        <v>1219</v>
      </c>
      <c r="B190" t="s">
        <v>1220</v>
      </c>
    </row>
    <row r="191" spans="1:2" x14ac:dyDescent="0.2">
      <c r="A191" t="s">
        <v>1221</v>
      </c>
      <c r="B191" t="s">
        <v>1222</v>
      </c>
    </row>
    <row r="192" spans="1:2" x14ac:dyDescent="0.2">
      <c r="A192" t="s">
        <v>1223</v>
      </c>
      <c r="B192" t="s">
        <v>1224</v>
      </c>
    </row>
    <row r="193" spans="1:2" x14ac:dyDescent="0.2">
      <c r="A193" t="s">
        <v>1225</v>
      </c>
    </row>
    <row r="194" spans="1:2" x14ac:dyDescent="0.2">
      <c r="A194" t="s">
        <v>1226</v>
      </c>
    </row>
    <row r="195" spans="1:2" x14ac:dyDescent="0.2">
      <c r="A195" t="s">
        <v>1227</v>
      </c>
    </row>
    <row r="196" spans="1:2" x14ac:dyDescent="0.2">
      <c r="A196" t="s">
        <v>1228</v>
      </c>
    </row>
    <row r="197" spans="1:2" x14ac:dyDescent="0.2">
      <c r="A197" t="s">
        <v>1229</v>
      </c>
      <c r="B197" t="s">
        <v>970</v>
      </c>
    </row>
    <row r="198" spans="1:2" x14ac:dyDescent="0.2">
      <c r="A198" t="s">
        <v>1230</v>
      </c>
      <c r="B198" t="s">
        <v>1031</v>
      </c>
    </row>
    <row r="199" spans="1:2" x14ac:dyDescent="0.2">
      <c r="A199" t="s">
        <v>1231</v>
      </c>
      <c r="B199" t="s">
        <v>1045</v>
      </c>
    </row>
    <row r="200" spans="1:2" x14ac:dyDescent="0.2">
      <c r="A200" t="s">
        <v>1232</v>
      </c>
      <c r="B200" t="s">
        <v>1045</v>
      </c>
    </row>
    <row r="201" spans="1:2" x14ac:dyDescent="0.2">
      <c r="A201" t="s">
        <v>1233</v>
      </c>
      <c r="B201" t="s">
        <v>1234</v>
      </c>
    </row>
    <row r="202" spans="1:2" x14ac:dyDescent="0.2">
      <c r="A202" t="s">
        <v>1235</v>
      </c>
      <c r="B202" t="s">
        <v>1236</v>
      </c>
    </row>
    <row r="203" spans="1:2" x14ac:dyDescent="0.2">
      <c r="A203" t="s">
        <v>1237</v>
      </c>
      <c r="B203" t="s">
        <v>1238</v>
      </c>
    </row>
    <row r="204" spans="1:2" x14ac:dyDescent="0.2">
      <c r="A204" t="s">
        <v>1239</v>
      </c>
      <c r="B204" t="s">
        <v>1045</v>
      </c>
    </row>
    <row r="205" spans="1:2" x14ac:dyDescent="0.2">
      <c r="A205" t="s">
        <v>1240</v>
      </c>
      <c r="B205" t="s">
        <v>1241</v>
      </c>
    </row>
    <row r="206" spans="1:2" x14ac:dyDescent="0.2">
      <c r="A206" t="s">
        <v>1242</v>
      </c>
    </row>
    <row r="207" spans="1:2" x14ac:dyDescent="0.2">
      <c r="A207" t="s">
        <v>1243</v>
      </c>
    </row>
    <row r="208" spans="1:2" x14ac:dyDescent="0.2">
      <c r="A208" t="s">
        <v>1244</v>
      </c>
    </row>
    <row r="209" spans="1:2" x14ac:dyDescent="0.2">
      <c r="A209" t="s">
        <v>1245</v>
      </c>
    </row>
    <row r="210" spans="1:2" x14ac:dyDescent="0.2">
      <c r="A210" t="s">
        <v>1246</v>
      </c>
      <c r="B210" t="s">
        <v>1033</v>
      </c>
    </row>
    <row r="211" spans="1:2" x14ac:dyDescent="0.2">
      <c r="A211" t="s">
        <v>1247</v>
      </c>
      <c r="B211" t="s">
        <v>22</v>
      </c>
    </row>
    <row r="212" spans="1:2" x14ac:dyDescent="0.2">
      <c r="A212" t="s">
        <v>1248</v>
      </c>
      <c r="B212" t="s">
        <v>1033</v>
      </c>
    </row>
    <row r="213" spans="1:2" x14ac:dyDescent="0.2">
      <c r="A213" t="s">
        <v>1249</v>
      </c>
      <c r="B213" t="s">
        <v>1033</v>
      </c>
    </row>
    <row r="214" spans="1:2" x14ac:dyDescent="0.2">
      <c r="A214" t="s">
        <v>1250</v>
      </c>
      <c r="B214" t="s">
        <v>1033</v>
      </c>
    </row>
    <row r="215" spans="1:2" x14ac:dyDescent="0.2">
      <c r="A215" t="s">
        <v>1251</v>
      </c>
      <c r="B215" t="s">
        <v>1033</v>
      </c>
    </row>
    <row r="216" spans="1:2" x14ac:dyDescent="0.2">
      <c r="A216" t="s">
        <v>1252</v>
      </c>
      <c r="B216" t="s">
        <v>1033</v>
      </c>
    </row>
    <row r="217" spans="1:2" x14ac:dyDescent="0.2">
      <c r="A217" t="s">
        <v>1253</v>
      </c>
    </row>
    <row r="218" spans="1:2" x14ac:dyDescent="0.2">
      <c r="A218" t="s">
        <v>1254</v>
      </c>
      <c r="B218" t="s">
        <v>22</v>
      </c>
    </row>
    <row r="219" spans="1:2" x14ac:dyDescent="0.2">
      <c r="A219" t="s">
        <v>1255</v>
      </c>
    </row>
    <row r="220" spans="1:2" x14ac:dyDescent="0.2">
      <c r="A220" t="s">
        <v>1256</v>
      </c>
      <c r="B220" t="s">
        <v>1033</v>
      </c>
    </row>
    <row r="221" spans="1:2" x14ac:dyDescent="0.2">
      <c r="A221" t="s">
        <v>1257</v>
      </c>
      <c r="B221" t="s">
        <v>1033</v>
      </c>
    </row>
    <row r="222" spans="1:2" x14ac:dyDescent="0.2">
      <c r="A222" t="s">
        <v>1258</v>
      </c>
      <c r="B222" t="s">
        <v>1033</v>
      </c>
    </row>
    <row r="223" spans="1:2" x14ac:dyDescent="0.2">
      <c r="A223" t="s">
        <v>1259</v>
      </c>
      <c r="B223" t="s">
        <v>1033</v>
      </c>
    </row>
    <row r="224" spans="1:2" x14ac:dyDescent="0.2">
      <c r="A224" t="s">
        <v>1260</v>
      </c>
      <c r="B224" t="s">
        <v>1033</v>
      </c>
    </row>
    <row r="225" spans="1:2" x14ac:dyDescent="0.2">
      <c r="A225" t="s">
        <v>1261</v>
      </c>
      <c r="B225" t="s">
        <v>1033</v>
      </c>
    </row>
    <row r="226" spans="1:2" x14ac:dyDescent="0.2">
      <c r="A226" t="s">
        <v>1262</v>
      </c>
      <c r="B226" t="s">
        <v>22</v>
      </c>
    </row>
    <row r="227" spans="1:2" x14ac:dyDescent="0.2">
      <c r="A227" t="s">
        <v>1263</v>
      </c>
    </row>
    <row r="228" spans="1:2" x14ac:dyDescent="0.2">
      <c r="A228" t="s">
        <v>1264</v>
      </c>
    </row>
    <row r="229" spans="1:2" x14ac:dyDescent="0.2">
      <c r="A229" t="s">
        <v>1265</v>
      </c>
      <c r="B229" t="s">
        <v>1045</v>
      </c>
    </row>
    <row r="230" spans="1:2" x14ac:dyDescent="0.2">
      <c r="A230" t="s">
        <v>1266</v>
      </c>
      <c r="B230" t="s">
        <v>1045</v>
      </c>
    </row>
    <row r="231" spans="1:2" x14ac:dyDescent="0.2">
      <c r="A231" t="s">
        <v>1267</v>
      </c>
      <c r="B231" t="s">
        <v>1054</v>
      </c>
    </row>
    <row r="232" spans="1:2" x14ac:dyDescent="0.2">
      <c r="A232" t="s">
        <v>1268</v>
      </c>
      <c r="B232" t="s">
        <v>1269</v>
      </c>
    </row>
    <row r="233" spans="1:2" x14ac:dyDescent="0.2">
      <c r="A233" t="s">
        <v>1270</v>
      </c>
    </row>
    <row r="234" spans="1:2" x14ac:dyDescent="0.2">
      <c r="A234" t="s">
        <v>1271</v>
      </c>
    </row>
    <row r="235" spans="1:2" x14ac:dyDescent="0.2">
      <c r="A235" t="s">
        <v>1272</v>
      </c>
      <c r="B235" t="s">
        <v>1273</v>
      </c>
    </row>
    <row r="236" spans="1:2" x14ac:dyDescent="0.2">
      <c r="A236" t="s">
        <v>1274</v>
      </c>
    </row>
    <row r="237" spans="1:2" x14ac:dyDescent="0.2">
      <c r="A237" t="s">
        <v>1275</v>
      </c>
    </row>
    <row r="238" spans="1:2" x14ac:dyDescent="0.2">
      <c r="A238" t="s">
        <v>1276</v>
      </c>
      <c r="B238" t="s">
        <v>984</v>
      </c>
    </row>
    <row r="239" spans="1:2" x14ac:dyDescent="0.2">
      <c r="A239" t="s">
        <v>1277</v>
      </c>
      <c r="B239" t="s">
        <v>1204</v>
      </c>
    </row>
    <row r="240" spans="1:2" x14ac:dyDescent="0.2">
      <c r="A240" t="s">
        <v>1278</v>
      </c>
    </row>
    <row r="241" spans="1:2" x14ac:dyDescent="0.2">
      <c r="A241" t="s">
        <v>1279</v>
      </c>
      <c r="B241" t="s">
        <v>976</v>
      </c>
    </row>
    <row r="242" spans="1:2" x14ac:dyDescent="0.2">
      <c r="A242" t="s">
        <v>1280</v>
      </c>
      <c r="B242" t="s">
        <v>1207</v>
      </c>
    </row>
    <row r="243" spans="1:2" x14ac:dyDescent="0.2">
      <c r="A243" t="s">
        <v>1281</v>
      </c>
    </row>
    <row r="244" spans="1:2" x14ac:dyDescent="0.2">
      <c r="A244" t="s">
        <v>1282</v>
      </c>
    </row>
    <row r="245" spans="1:2" x14ac:dyDescent="0.2">
      <c r="A245" t="s">
        <v>1283</v>
      </c>
      <c r="B245" t="s">
        <v>1241</v>
      </c>
    </row>
    <row r="246" spans="1:2" x14ac:dyDescent="0.2">
      <c r="A246" t="s">
        <v>1284</v>
      </c>
      <c r="B246" t="s">
        <v>1285</v>
      </c>
    </row>
    <row r="247" spans="1:2" x14ac:dyDescent="0.2">
      <c r="A247" t="s">
        <v>1286</v>
      </c>
      <c r="B247" t="s">
        <v>1285</v>
      </c>
    </row>
    <row r="248" spans="1:2" x14ac:dyDescent="0.2">
      <c r="A248" t="s">
        <v>1287</v>
      </c>
      <c r="B248" t="s">
        <v>1045</v>
      </c>
    </row>
    <row r="249" spans="1:2" x14ac:dyDescent="0.2">
      <c r="A249" t="s">
        <v>1288</v>
      </c>
      <c r="B249" t="s">
        <v>1289</v>
      </c>
    </row>
    <row r="250" spans="1:2" x14ac:dyDescent="0.2">
      <c r="A250" t="s">
        <v>1290</v>
      </c>
      <c r="B250" t="s">
        <v>976</v>
      </c>
    </row>
    <row r="251" spans="1:2" x14ac:dyDescent="0.2">
      <c r="A251" t="s">
        <v>1291</v>
      </c>
      <c r="B251" t="s">
        <v>976</v>
      </c>
    </row>
    <row r="252" spans="1:2" x14ac:dyDescent="0.2">
      <c r="A252" t="s">
        <v>1292</v>
      </c>
      <c r="B252" t="s">
        <v>1293</v>
      </c>
    </row>
    <row r="253" spans="1:2" x14ac:dyDescent="0.2">
      <c r="A253" t="s">
        <v>1294</v>
      </c>
      <c r="B253" t="s">
        <v>1045</v>
      </c>
    </row>
    <row r="254" spans="1:2" x14ac:dyDescent="0.2">
      <c r="A254" t="s">
        <v>1295</v>
      </c>
    </row>
    <row r="255" spans="1:2" x14ac:dyDescent="0.2">
      <c r="A255" t="s">
        <v>1296</v>
      </c>
    </row>
    <row r="256" spans="1:2" x14ac:dyDescent="0.2">
      <c r="A256" t="s">
        <v>1297</v>
      </c>
    </row>
    <row r="257" spans="1:2" x14ac:dyDescent="0.2">
      <c r="A257" t="s">
        <v>1298</v>
      </c>
    </row>
    <row r="258" spans="1:2" x14ac:dyDescent="0.2">
      <c r="A258" t="s">
        <v>1299</v>
      </c>
      <c r="B258" t="s">
        <v>1293</v>
      </c>
    </row>
    <row r="259" spans="1:2" x14ac:dyDescent="0.2">
      <c r="A259" t="s">
        <v>1300</v>
      </c>
    </row>
    <row r="260" spans="1:2" x14ac:dyDescent="0.2">
      <c r="A260" t="s">
        <v>1301</v>
      </c>
    </row>
    <row r="261" spans="1:2" x14ac:dyDescent="0.2">
      <c r="A261" t="s">
        <v>1302</v>
      </c>
    </row>
    <row r="262" spans="1:2" x14ac:dyDescent="0.2">
      <c r="A262" t="s">
        <v>1303</v>
      </c>
    </row>
    <row r="263" spans="1:2" x14ac:dyDescent="0.2">
      <c r="A263" t="s">
        <v>1304</v>
      </c>
      <c r="B263" t="s">
        <v>1241</v>
      </c>
    </row>
    <row r="264" spans="1:2" x14ac:dyDescent="0.2">
      <c r="A264" t="s">
        <v>1305</v>
      </c>
    </row>
    <row r="265" spans="1:2" x14ac:dyDescent="0.2">
      <c r="A265" t="s">
        <v>1306</v>
      </c>
      <c r="B265" t="s">
        <v>1307</v>
      </c>
    </row>
    <row r="266" spans="1:2" x14ac:dyDescent="0.2">
      <c r="A266" t="s">
        <v>1308</v>
      </c>
    </row>
    <row r="267" spans="1:2" x14ac:dyDescent="0.2">
      <c r="A267" t="s">
        <v>1309</v>
      </c>
      <c r="B267" t="s">
        <v>1045</v>
      </c>
    </row>
    <row r="268" spans="1:2" x14ac:dyDescent="0.2">
      <c r="A268" t="s">
        <v>1310</v>
      </c>
      <c r="B268" t="s">
        <v>1161</v>
      </c>
    </row>
    <row r="269" spans="1:2" x14ac:dyDescent="0.2">
      <c r="A269" t="s">
        <v>1311</v>
      </c>
      <c r="B269" t="s">
        <v>1312</v>
      </c>
    </row>
    <row r="270" spans="1:2" x14ac:dyDescent="0.2">
      <c r="A270" t="s">
        <v>1313</v>
      </c>
      <c r="B270" t="s">
        <v>1314</v>
      </c>
    </row>
    <row r="271" spans="1:2" x14ac:dyDescent="0.2">
      <c r="A271" t="s">
        <v>1315</v>
      </c>
      <c r="B271" t="s">
        <v>1316</v>
      </c>
    </row>
    <row r="272" spans="1:2" x14ac:dyDescent="0.2">
      <c r="A272" t="s">
        <v>1317</v>
      </c>
    </row>
    <row r="273" spans="1:2" x14ac:dyDescent="0.2">
      <c r="A273" t="s">
        <v>1318</v>
      </c>
    </row>
    <row r="274" spans="1:2" x14ac:dyDescent="0.2">
      <c r="A274" t="s">
        <v>1319</v>
      </c>
      <c r="B274" t="s">
        <v>1320</v>
      </c>
    </row>
    <row r="275" spans="1:2" x14ac:dyDescent="0.2">
      <c r="A275" t="s">
        <v>1321</v>
      </c>
    </row>
    <row r="276" spans="1:2" x14ac:dyDescent="0.2">
      <c r="A276" t="s">
        <v>1322</v>
      </c>
    </row>
    <row r="277" spans="1:2" x14ac:dyDescent="0.2">
      <c r="A277" t="s">
        <v>1323</v>
      </c>
    </row>
    <row r="278" spans="1:2" x14ac:dyDescent="0.2">
      <c r="A278" t="s">
        <v>1324</v>
      </c>
      <c r="B278" t="s">
        <v>1045</v>
      </c>
    </row>
    <row r="279" spans="1:2" x14ac:dyDescent="0.2">
      <c r="A279" t="s">
        <v>1325</v>
      </c>
      <c r="B279" t="s">
        <v>988</v>
      </c>
    </row>
    <row r="280" spans="1:2" x14ac:dyDescent="0.2">
      <c r="A280" t="s">
        <v>1326</v>
      </c>
    </row>
    <row r="281" spans="1:2" x14ac:dyDescent="0.2">
      <c r="A281" t="s">
        <v>1327</v>
      </c>
    </row>
    <row r="282" spans="1:2" x14ac:dyDescent="0.2">
      <c r="A282" t="s">
        <v>1328</v>
      </c>
    </row>
    <row r="283" spans="1:2" x14ac:dyDescent="0.2">
      <c r="A283" t="s">
        <v>1329</v>
      </c>
      <c r="B283" t="s">
        <v>1125</v>
      </c>
    </row>
    <row r="284" spans="1:2" x14ac:dyDescent="0.2">
      <c r="A284" t="s">
        <v>1330</v>
      </c>
    </row>
    <row r="285" spans="1:2" x14ac:dyDescent="0.2">
      <c r="A285" t="s">
        <v>1331</v>
      </c>
    </row>
    <row r="286" spans="1:2" x14ac:dyDescent="0.2">
      <c r="A286" t="s">
        <v>1332</v>
      </c>
      <c r="B286" t="s">
        <v>1333</v>
      </c>
    </row>
    <row r="287" spans="1:2" x14ac:dyDescent="0.2">
      <c r="A287" t="s">
        <v>1334</v>
      </c>
    </row>
    <row r="288" spans="1:2" x14ac:dyDescent="0.2">
      <c r="A288" t="s">
        <v>1335</v>
      </c>
    </row>
    <row r="289" spans="1:2" x14ac:dyDescent="0.2">
      <c r="A289" t="s">
        <v>1336</v>
      </c>
      <c r="B289" t="s">
        <v>1337</v>
      </c>
    </row>
    <row r="290" spans="1:2" x14ac:dyDescent="0.2">
      <c r="A290" t="s">
        <v>1338</v>
      </c>
      <c r="B290" t="s">
        <v>1209</v>
      </c>
    </row>
    <row r="291" spans="1:2" x14ac:dyDescent="0.2">
      <c r="A291" t="s">
        <v>1339</v>
      </c>
    </row>
    <row r="292" spans="1:2" x14ac:dyDescent="0.2">
      <c r="A292" t="s">
        <v>1340</v>
      </c>
    </row>
    <row r="293" spans="1:2" x14ac:dyDescent="0.2">
      <c r="A293" t="s">
        <v>1341</v>
      </c>
    </row>
    <row r="294" spans="1:2" x14ac:dyDescent="0.2">
      <c r="A294" t="s">
        <v>1342</v>
      </c>
      <c r="B294" t="s">
        <v>963</v>
      </c>
    </row>
    <row r="295" spans="1:2" x14ac:dyDescent="0.2">
      <c r="A295" t="s">
        <v>1343</v>
      </c>
      <c r="B295" t="s">
        <v>993</v>
      </c>
    </row>
    <row r="296" spans="1:2" x14ac:dyDescent="0.2">
      <c r="A296" t="s">
        <v>1344</v>
      </c>
      <c r="B296" t="s">
        <v>1224</v>
      </c>
    </row>
    <row r="297" spans="1:2" x14ac:dyDescent="0.2">
      <c r="A297" t="s">
        <v>1345</v>
      </c>
      <c r="B297" t="s">
        <v>1346</v>
      </c>
    </row>
    <row r="298" spans="1:2" x14ac:dyDescent="0.2">
      <c r="A298" t="s">
        <v>1347</v>
      </c>
      <c r="B298" t="s">
        <v>1348</v>
      </c>
    </row>
    <row r="299" spans="1:2" x14ac:dyDescent="0.2">
      <c r="A299" t="s">
        <v>1349</v>
      </c>
      <c r="B299" t="s">
        <v>1175</v>
      </c>
    </row>
    <row r="300" spans="1:2" x14ac:dyDescent="0.2">
      <c r="A300" t="s">
        <v>1350</v>
      </c>
      <c r="B300" t="s">
        <v>1293</v>
      </c>
    </row>
    <row r="301" spans="1:2" x14ac:dyDescent="0.2">
      <c r="A301" t="s">
        <v>1351</v>
      </c>
      <c r="B301" t="s">
        <v>988</v>
      </c>
    </row>
    <row r="302" spans="1:2" x14ac:dyDescent="0.2">
      <c r="A302" t="s">
        <v>1352</v>
      </c>
      <c r="B302" t="s">
        <v>1333</v>
      </c>
    </row>
    <row r="303" spans="1:2" x14ac:dyDescent="0.2">
      <c r="A303" t="s">
        <v>1353</v>
      </c>
      <c r="B303" t="s">
        <v>1141</v>
      </c>
    </row>
    <row r="304" spans="1:2" x14ac:dyDescent="0.2">
      <c r="A304" t="s">
        <v>1354</v>
      </c>
      <c r="B304" t="s">
        <v>963</v>
      </c>
    </row>
    <row r="305" spans="1:2" x14ac:dyDescent="0.2">
      <c r="A305" t="s">
        <v>1355</v>
      </c>
      <c r="B305" t="s">
        <v>1356</v>
      </c>
    </row>
    <row r="306" spans="1:2" x14ac:dyDescent="0.2">
      <c r="A306" t="s">
        <v>1357</v>
      </c>
      <c r="B306" t="s">
        <v>1358</v>
      </c>
    </row>
    <row r="307" spans="1:2" x14ac:dyDescent="0.2">
      <c r="A307" t="s">
        <v>1359</v>
      </c>
      <c r="B307" t="s">
        <v>993</v>
      </c>
    </row>
    <row r="308" spans="1:2" x14ac:dyDescent="0.2">
      <c r="A308" t="s">
        <v>1360</v>
      </c>
      <c r="B308" t="s">
        <v>970</v>
      </c>
    </row>
    <row r="309" spans="1:2" x14ac:dyDescent="0.2">
      <c r="A309" t="s">
        <v>1361</v>
      </c>
      <c r="B309" t="s">
        <v>1045</v>
      </c>
    </row>
    <row r="310" spans="1:2" x14ac:dyDescent="0.2">
      <c r="A310" t="s">
        <v>1362</v>
      </c>
      <c r="B310" t="s">
        <v>1363</v>
      </c>
    </row>
    <row r="311" spans="1:2" x14ac:dyDescent="0.2">
      <c r="A311" t="s">
        <v>1364</v>
      </c>
    </row>
    <row r="312" spans="1:2" x14ac:dyDescent="0.2">
      <c r="A312" t="s">
        <v>1365</v>
      </c>
    </row>
    <row r="313" spans="1:2" x14ac:dyDescent="0.2">
      <c r="A313" t="s">
        <v>1366</v>
      </c>
    </row>
    <row r="314" spans="1:2" x14ac:dyDescent="0.2">
      <c r="A314" t="s">
        <v>1367</v>
      </c>
      <c r="B314" t="s">
        <v>1368</v>
      </c>
    </row>
    <row r="315" spans="1:2" x14ac:dyDescent="0.2">
      <c r="A315" t="s">
        <v>1369</v>
      </c>
      <c r="B315" t="s">
        <v>1370</v>
      </c>
    </row>
    <row r="316" spans="1:2" x14ac:dyDescent="0.2">
      <c r="A316" t="s">
        <v>1371</v>
      </c>
    </row>
    <row r="317" spans="1:2" x14ac:dyDescent="0.2">
      <c r="A317" t="s">
        <v>1372</v>
      </c>
    </row>
    <row r="318" spans="1:2" x14ac:dyDescent="0.2">
      <c r="A318" t="s">
        <v>1373</v>
      </c>
    </row>
    <row r="319" spans="1:2" x14ac:dyDescent="0.2">
      <c r="A319" t="s">
        <v>1374</v>
      </c>
      <c r="B319" t="s">
        <v>1375</v>
      </c>
    </row>
    <row r="320" spans="1:2" x14ac:dyDescent="0.2">
      <c r="A320" t="s">
        <v>1376</v>
      </c>
      <c r="B320" t="s">
        <v>1358</v>
      </c>
    </row>
    <row r="321" spans="1:2" x14ac:dyDescent="0.2">
      <c r="A321" t="s">
        <v>1377</v>
      </c>
      <c r="B321" t="s">
        <v>993</v>
      </c>
    </row>
    <row r="322" spans="1:2" x14ac:dyDescent="0.2">
      <c r="A322" t="s">
        <v>1378</v>
      </c>
      <c r="B322" t="s">
        <v>988</v>
      </c>
    </row>
    <row r="323" spans="1:2" x14ac:dyDescent="0.2">
      <c r="A323" t="s">
        <v>1379</v>
      </c>
      <c r="B323" t="s">
        <v>1380</v>
      </c>
    </row>
    <row r="324" spans="1:2" x14ac:dyDescent="0.2">
      <c r="A324" t="s">
        <v>1381</v>
      </c>
      <c r="B324" t="s">
        <v>963</v>
      </c>
    </row>
    <row r="325" spans="1:2" x14ac:dyDescent="0.2">
      <c r="A325" t="s">
        <v>1382</v>
      </c>
      <c r="B325" t="s">
        <v>1383</v>
      </c>
    </row>
    <row r="326" spans="1:2" x14ac:dyDescent="0.2">
      <c r="A326" t="s">
        <v>1384</v>
      </c>
    </row>
    <row r="327" spans="1:2" x14ac:dyDescent="0.2">
      <c r="A327" t="s">
        <v>1385</v>
      </c>
      <c r="B327" t="s">
        <v>1386</v>
      </c>
    </row>
    <row r="328" spans="1:2" x14ac:dyDescent="0.2">
      <c r="A328" t="s">
        <v>1387</v>
      </c>
      <c r="B328" t="s">
        <v>1388</v>
      </c>
    </row>
    <row r="329" spans="1:2" x14ac:dyDescent="0.2">
      <c r="A329" t="s">
        <v>1389</v>
      </c>
      <c r="B329" t="s">
        <v>1289</v>
      </c>
    </row>
    <row r="330" spans="1:2" x14ac:dyDescent="0.2">
      <c r="A330" t="s">
        <v>1390</v>
      </c>
      <c r="B330" t="s">
        <v>1184</v>
      </c>
    </row>
    <row r="331" spans="1:2" x14ac:dyDescent="0.2">
      <c r="A331" t="s">
        <v>1391</v>
      </c>
      <c r="B331" t="s">
        <v>1184</v>
      </c>
    </row>
    <row r="332" spans="1:2" x14ac:dyDescent="0.2">
      <c r="A332" t="s">
        <v>1392</v>
      </c>
      <c r="B332" t="s">
        <v>1393</v>
      </c>
    </row>
    <row r="333" spans="1:2" x14ac:dyDescent="0.2">
      <c r="A333" t="s">
        <v>1394</v>
      </c>
      <c r="B333" t="s">
        <v>1031</v>
      </c>
    </row>
    <row r="334" spans="1:2" x14ac:dyDescent="0.2">
      <c r="A334" t="s">
        <v>1395</v>
      </c>
    </row>
    <row r="335" spans="1:2" x14ac:dyDescent="0.2">
      <c r="A335" t="s">
        <v>1396</v>
      </c>
      <c r="B335" t="s">
        <v>1397</v>
      </c>
    </row>
    <row r="336" spans="1:2" x14ac:dyDescent="0.2">
      <c r="A336" t="s">
        <v>1398</v>
      </c>
      <c r="B336" t="s">
        <v>1399</v>
      </c>
    </row>
    <row r="337" spans="1:2" x14ac:dyDescent="0.2">
      <c r="A337" t="s">
        <v>1400</v>
      </c>
      <c r="B337" t="s">
        <v>1401</v>
      </c>
    </row>
    <row r="338" spans="1:2" x14ac:dyDescent="0.2">
      <c r="A338" t="s">
        <v>1402</v>
      </c>
      <c r="B338" t="s">
        <v>1397</v>
      </c>
    </row>
    <row r="339" spans="1:2" x14ac:dyDescent="0.2">
      <c r="A339" t="s">
        <v>1403</v>
      </c>
      <c r="B339" t="s">
        <v>1404</v>
      </c>
    </row>
    <row r="340" spans="1:2" x14ac:dyDescent="0.2">
      <c r="A340" t="s">
        <v>1405</v>
      </c>
      <c r="B340" t="s">
        <v>1307</v>
      </c>
    </row>
    <row r="341" spans="1:2" x14ac:dyDescent="0.2">
      <c r="A341" t="s">
        <v>1406</v>
      </c>
    </row>
    <row r="342" spans="1:2" x14ac:dyDescent="0.2">
      <c r="A342" t="s">
        <v>1407</v>
      </c>
      <c r="B342" t="s">
        <v>988</v>
      </c>
    </row>
    <row r="343" spans="1:2" x14ac:dyDescent="0.2">
      <c r="A343" t="s">
        <v>1408</v>
      </c>
    </row>
    <row r="344" spans="1:2" x14ac:dyDescent="0.2">
      <c r="A344" t="s">
        <v>1409</v>
      </c>
      <c r="B344" t="s">
        <v>1358</v>
      </c>
    </row>
    <row r="345" spans="1:2" x14ac:dyDescent="0.2">
      <c r="A345" t="s">
        <v>1410</v>
      </c>
      <c r="B345" t="s">
        <v>1411</v>
      </c>
    </row>
    <row r="346" spans="1:2" x14ac:dyDescent="0.2">
      <c r="A346" t="s">
        <v>1412</v>
      </c>
      <c r="B346" t="s">
        <v>1413</v>
      </c>
    </row>
    <row r="347" spans="1:2" x14ac:dyDescent="0.2">
      <c r="A347" t="s">
        <v>1414</v>
      </c>
      <c r="B347" t="s">
        <v>970</v>
      </c>
    </row>
    <row r="348" spans="1:2" x14ac:dyDescent="0.2">
      <c r="A348" t="s">
        <v>1415</v>
      </c>
      <c r="B348" t="s">
        <v>1380</v>
      </c>
    </row>
    <row r="349" spans="1:2" x14ac:dyDescent="0.2">
      <c r="A349" t="s">
        <v>1416</v>
      </c>
      <c r="B349" t="s">
        <v>963</v>
      </c>
    </row>
    <row r="350" spans="1:2" x14ac:dyDescent="0.2">
      <c r="A350" t="s">
        <v>1417</v>
      </c>
      <c r="B350" t="s">
        <v>1184</v>
      </c>
    </row>
    <row r="351" spans="1:2" x14ac:dyDescent="0.2">
      <c r="A351" t="s">
        <v>1418</v>
      </c>
      <c r="B351" t="s">
        <v>1187</v>
      </c>
    </row>
    <row r="352" spans="1:2" x14ac:dyDescent="0.2">
      <c r="A352" t="s">
        <v>1419</v>
      </c>
      <c r="B352" t="s">
        <v>1383</v>
      </c>
    </row>
    <row r="353" spans="1:2" x14ac:dyDescent="0.2">
      <c r="A353" t="s">
        <v>1420</v>
      </c>
      <c r="B353" t="s">
        <v>1386</v>
      </c>
    </row>
    <row r="354" spans="1:2" x14ac:dyDescent="0.2">
      <c r="A354" t="s">
        <v>1421</v>
      </c>
      <c r="B354" t="s">
        <v>970</v>
      </c>
    </row>
    <row r="355" spans="1:2" x14ac:dyDescent="0.2">
      <c r="A355" t="s">
        <v>1422</v>
      </c>
      <c r="B355" t="s">
        <v>1423</v>
      </c>
    </row>
    <row r="356" spans="1:2" x14ac:dyDescent="0.2">
      <c r="A356" t="s">
        <v>1424</v>
      </c>
      <c r="B356" t="s">
        <v>1184</v>
      </c>
    </row>
    <row r="357" spans="1:2" x14ac:dyDescent="0.2">
      <c r="A357" t="s">
        <v>1425</v>
      </c>
      <c r="B357" t="s">
        <v>1393</v>
      </c>
    </row>
    <row r="358" spans="1:2" x14ac:dyDescent="0.2">
      <c r="A358" t="s">
        <v>1426</v>
      </c>
      <c r="B358" t="s">
        <v>1033</v>
      </c>
    </row>
    <row r="359" spans="1:2" x14ac:dyDescent="0.2">
      <c r="A359" t="s">
        <v>1427</v>
      </c>
      <c r="B359" t="s">
        <v>22</v>
      </c>
    </row>
    <row r="360" spans="1:2" x14ac:dyDescent="0.2">
      <c r="A360" t="s">
        <v>1428</v>
      </c>
      <c r="B360" t="s">
        <v>1031</v>
      </c>
    </row>
    <row r="361" spans="1:2" x14ac:dyDescent="0.2">
      <c r="A361" t="s">
        <v>1429</v>
      </c>
      <c r="B361" t="s">
        <v>984</v>
      </c>
    </row>
    <row r="362" spans="1:2" x14ac:dyDescent="0.2">
      <c r="A362" t="s">
        <v>1430</v>
      </c>
      <c r="B362" t="s">
        <v>1204</v>
      </c>
    </row>
    <row r="363" spans="1:2" x14ac:dyDescent="0.2">
      <c r="A363" t="s">
        <v>1431</v>
      </c>
    </row>
    <row r="364" spans="1:2" x14ac:dyDescent="0.2">
      <c r="A364" t="s">
        <v>1432</v>
      </c>
      <c r="B364" t="s">
        <v>1207</v>
      </c>
    </row>
    <row r="365" spans="1:2" x14ac:dyDescent="0.2">
      <c r="A365" t="s">
        <v>1433</v>
      </c>
    </row>
    <row r="366" spans="1:2" x14ac:dyDescent="0.2">
      <c r="A366" t="s">
        <v>1434</v>
      </c>
      <c r="B366" t="s">
        <v>1423</v>
      </c>
    </row>
    <row r="367" spans="1:2" x14ac:dyDescent="0.2">
      <c r="A367" t="s">
        <v>1435</v>
      </c>
      <c r="B367" t="s">
        <v>1423</v>
      </c>
    </row>
    <row r="368" spans="1:2" x14ac:dyDescent="0.2">
      <c r="A368" t="s">
        <v>1436</v>
      </c>
      <c r="B368" t="s">
        <v>1437</v>
      </c>
    </row>
    <row r="369" spans="1:2" x14ac:dyDescent="0.2">
      <c r="A369" t="s">
        <v>1438</v>
      </c>
      <c r="B369" t="s">
        <v>1307</v>
      </c>
    </row>
    <row r="370" spans="1:2" x14ac:dyDescent="0.2">
      <c r="A370" t="s">
        <v>1439</v>
      </c>
      <c r="B370" t="s">
        <v>988</v>
      </c>
    </row>
    <row r="371" spans="1:2" x14ac:dyDescent="0.2">
      <c r="A371" t="s">
        <v>1440</v>
      </c>
      <c r="B371" t="s">
        <v>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MappingEditor</vt:lpstr>
      <vt:lpstr>NewFieldCatalog</vt:lpstr>
      <vt:lpstr>LegacyCatalog</vt:lpstr>
      <vt:lpstr>DropdownData</vt:lpstr>
      <vt:lpstr>Instructions</vt:lpstr>
      <vt:lpstr>UnmappedNewFields</vt:lpstr>
      <vt:lpstr>UnmappedLegacyFields</vt:lpstr>
      <vt:lpstr>FallbackEditor</vt:lpstr>
      <vt:lpstr>CaseSource</vt:lpstr>
      <vt:lpstr>AUTH_SIGNATORY</vt:lpstr>
      <vt:lpstr>CPV_DETAIL</vt:lpstr>
      <vt:lpstr>CUSTOMER_BANK</vt:lpstr>
      <vt:lpstr>GURANTOR</vt:lpstr>
      <vt:lpstr>LegacyFiles</vt:lpstr>
      <vt:lpstr>RC_CUSTOMER_ACCOUNT</vt:lpstr>
      <vt:lpstr>RC_DOC_DESPATCH_MASTER</vt:lpstr>
      <vt:lpstr>RC_INSTRUMENT_DETAIL</vt:lpstr>
      <vt:lpstr>RC_RC_INV_RECEIVING_DETAIL</vt:lpstr>
      <vt:lpstr>RC_RC_INV_STATUS</vt:lpstr>
      <vt:lpstr>RC_SOURCE_REFERENCE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grover</cp:lastModifiedBy>
  <dcterms:created xsi:type="dcterms:W3CDTF">2026-03-07T12:51:36Z</dcterms:created>
  <dcterms:modified xsi:type="dcterms:W3CDTF">2026-03-07T12:56:41Z</dcterms:modified>
</cp:coreProperties>
</file>